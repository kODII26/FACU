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parciales\parcial 2023 comision 1\"/>
    </mc:Choice>
  </mc:AlternateContent>
  <xr:revisionPtr revIDLastSave="0" documentId="8_{B498CD51-BA28-499A-A7B0-A934B69281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chart.v1.0" hidden="1">Sheet1!$C$38:$C$47</definedName>
    <definedName name="_xlchart.v1.1" hidden="1">Sheet1!$C$37</definedName>
    <definedName name="_xlchart.v1.2" hidden="1">Sheet1!$C$38:$C$47</definedName>
    <definedName name="_xlchart.v1.3" hidden="1">Sheet1!$C$37</definedName>
    <definedName name="_xlchart.v1.4" hidden="1">Sheet1!$C$38:$C$47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</calcChain>
</file>

<file path=xl/sharedStrings.xml><?xml version="1.0" encoding="utf-8"?>
<sst xmlns="http://schemas.openxmlformats.org/spreadsheetml/2006/main" count="39" uniqueCount="37">
  <si>
    <t>Día</t>
  </si>
  <si>
    <t>Temperatura alta (°F)</t>
  </si>
  <si>
    <t>Carga pico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</si>
  <si>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</si>
  <si>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</si>
  <si>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</si>
  <si>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</si>
  <si>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</si>
  <si>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</si>
  <si>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</si>
  <si>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</si>
  <si>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</si>
  <si>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</si>
  <si>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</si>
  <si>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</si>
  <si>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</si>
  <si>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</si>
  <si>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</si>
  <si>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</si>
  <si>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</si>
  <si>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</si>
  <si>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</si>
  <si>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</si>
  <si>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</si>
  <si>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</si>
  <si>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</si>
  <si>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El coeficiente de correlación indica que existe una fuerte relación lineal entre los datos.</t>
  </si>
  <si>
    <t>Análisis de los residuales</t>
  </si>
  <si>
    <t>Observación</t>
  </si>
  <si>
    <t>Pronóstico para Y</t>
  </si>
  <si>
    <t>Residuos estándares</t>
  </si>
  <si>
    <t>RESPUESTAS:</t>
  </si>
  <si>
    <t>El coeficiente de determinación expresa que aproximadamente el 89% de la variabilidad de la Carga Pico es explicada por el modelo propuesto</t>
  </si>
  <si>
    <t>También podemos destacar la varianza de la regresión nos dio 261,61</t>
  </si>
  <si>
    <t>Residuo con esperanza cercana a 0, histograma con campana gauss</t>
  </si>
  <si>
    <t>Intercepción (ord al origen)</t>
  </si>
  <si>
    <t>Variable X 1 (pend, cuanto aumenta y cuando x aumenta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</si>
</sst>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Sheet1!$B$2:$B$11</c:f>
              <c:numCache>
                <c:formatCode>General</c:formatCode>
                <c:ptCount val="10"/>
                <c:pt idx="0">
                  <c:v>95</c:v>
                </c:pt>
                <c:pt idx="1">
                  <c:v>82</c:v>
                </c:pt>
                <c:pt idx="2">
                  <c:v>90</c:v>
                </c:pt>
                <c:pt idx="3">
                  <c:v>81</c:v>
                </c:pt>
                <c:pt idx="4">
                  <c:v>99</c:v>
                </c:pt>
                <c:pt idx="5">
                  <c:v>100</c:v>
                </c:pt>
                <c:pt idx="6">
                  <c:v>93</c:v>
                </c:pt>
                <c:pt idx="7">
                  <c:v>95</c:v>
                </c:pt>
                <c:pt idx="8">
                  <c:v>93</c:v>
                </c:pt>
                <c:pt idx="9">
                  <c:v>87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214</c:v>
                </c:pt>
                <c:pt idx="1">
                  <c:v>152</c:v>
                </c:pt>
                <c:pt idx="2">
                  <c:v>156</c:v>
                </c:pt>
                <c:pt idx="3">
                  <c:v>129</c:v>
                </c:pt>
                <c:pt idx="4">
                  <c:v>254</c:v>
                </c:pt>
                <c:pt idx="5">
                  <c:v>266</c:v>
                </c:pt>
                <c:pt idx="6">
                  <c:v>210</c:v>
                </c:pt>
                <c:pt idx="7">
                  <c:v>204</c:v>
                </c:pt>
                <c:pt idx="8">
                  <c:v>213</c:v>
                </c:pt>
                <c:pt idx="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1-4ED9-9434-A79C6AFE9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073296"/>
        <c:axId val="280073776"/>
      </c:scatterChart>
      <c:valAx>
        <c:axId val="280073296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80073776"/>
        <c:crosses val="autoZero"/>
        <c:crossBetween val="midCat"/>
      </c:valAx>
      <c:valAx>
        <c:axId val="28007377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8007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Variable X 1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Sheet1!$B$2:$B$11</c:f>
              <c:numCache>
                <c:formatCode>General</c:formatCode>
                <c:ptCount val="10"/>
                <c:pt idx="0">
                  <c:v>95</c:v>
                </c:pt>
                <c:pt idx="1">
                  <c:v>82</c:v>
                </c:pt>
                <c:pt idx="2">
                  <c:v>90</c:v>
                </c:pt>
                <c:pt idx="3">
                  <c:v>81</c:v>
                </c:pt>
                <c:pt idx="4">
                  <c:v>99</c:v>
                </c:pt>
                <c:pt idx="5">
                  <c:v>100</c:v>
                </c:pt>
                <c:pt idx="6">
                  <c:v>93</c:v>
                </c:pt>
                <c:pt idx="7">
                  <c:v>95</c:v>
                </c:pt>
                <c:pt idx="8">
                  <c:v>93</c:v>
                </c:pt>
                <c:pt idx="9">
                  <c:v>87</c:v>
                </c:pt>
              </c:numCache>
            </c:numRef>
          </c:xVal>
          <c:yVal>
            <c:numRef>
              <c:f>Sheet1!$C$38:$C$47</c:f>
              <c:numCache>
                <c:formatCode>General</c:formatCode>
                <c:ptCount val="10"/>
                <c:pt idx="0">
                  <c:v>-4.3111695137976653</c:v>
                </c:pt>
                <c:pt idx="1">
                  <c:v>21.016031537450715</c:v>
                </c:pt>
                <c:pt idx="2">
                  <c:v>-28.723784494086715</c:v>
                </c:pt>
                <c:pt idx="3">
                  <c:v>4.7335085413929505</c:v>
                </c:pt>
                <c:pt idx="4">
                  <c:v>8.8189224704336198</c:v>
                </c:pt>
                <c:pt idx="5">
                  <c:v>14.101445466491498</c:v>
                </c:pt>
                <c:pt idx="6">
                  <c:v>5.1237844940866921</c:v>
                </c:pt>
                <c:pt idx="7">
                  <c:v>-14.311169513797665</c:v>
                </c:pt>
                <c:pt idx="8">
                  <c:v>8.1237844940866921</c:v>
                </c:pt>
                <c:pt idx="9">
                  <c:v>-14.571353482260236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D-48A1-A775-EAF1CFD77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895504"/>
        <c:axId val="491895984"/>
      </c:scatterChart>
      <c:valAx>
        <c:axId val="491895504"/>
        <c:scaling>
          <c:orientation val="minMax"/>
          <c:min val="7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1895984"/>
        <c:crosses val="autoZero"/>
        <c:crossBetween val="midCat"/>
      </c:valAx>
      <c:valAx>
        <c:axId val="491895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18955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Variable X 1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Sheet1!$B$2:$B$11</c:f>
              <c:numCache>
                <c:formatCode>General</c:formatCode>
                <c:ptCount val="10"/>
                <c:pt idx="0">
                  <c:v>95</c:v>
                </c:pt>
                <c:pt idx="1">
                  <c:v>82</c:v>
                </c:pt>
                <c:pt idx="2">
                  <c:v>90</c:v>
                </c:pt>
                <c:pt idx="3">
                  <c:v>81</c:v>
                </c:pt>
                <c:pt idx="4">
                  <c:v>99</c:v>
                </c:pt>
                <c:pt idx="5">
                  <c:v>100</c:v>
                </c:pt>
                <c:pt idx="6">
                  <c:v>93</c:v>
                </c:pt>
                <c:pt idx="7">
                  <c:v>95</c:v>
                </c:pt>
                <c:pt idx="8">
                  <c:v>93</c:v>
                </c:pt>
                <c:pt idx="9">
                  <c:v>87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214</c:v>
                </c:pt>
                <c:pt idx="1">
                  <c:v>152</c:v>
                </c:pt>
                <c:pt idx="2">
                  <c:v>156</c:v>
                </c:pt>
                <c:pt idx="3">
                  <c:v>129</c:v>
                </c:pt>
                <c:pt idx="4">
                  <c:v>254</c:v>
                </c:pt>
                <c:pt idx="5">
                  <c:v>266</c:v>
                </c:pt>
                <c:pt idx="6">
                  <c:v>210</c:v>
                </c:pt>
                <c:pt idx="7">
                  <c:v>204</c:v>
                </c:pt>
                <c:pt idx="8">
                  <c:v>213</c:v>
                </c:pt>
                <c:pt idx="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B-402D-B784-A94EB138B998}"/>
            </c:ext>
          </c:extLst>
        </c:ser>
        <c:ser>
          <c:idx val="1"/>
          <c:order val="1"/>
          <c:tx>
            <c:v>Pronóstico para Y</c:v>
          </c:tx>
          <c:spPr>
            <a:ln w="28575">
              <a:noFill/>
            </a:ln>
          </c:spPr>
          <c:xVal>
            <c:numRef>
              <c:f>Sheet1!$B$2:$B$11</c:f>
              <c:numCache>
                <c:formatCode>General</c:formatCode>
                <c:ptCount val="10"/>
                <c:pt idx="0">
                  <c:v>95</c:v>
                </c:pt>
                <c:pt idx="1">
                  <c:v>82</c:v>
                </c:pt>
                <c:pt idx="2">
                  <c:v>90</c:v>
                </c:pt>
                <c:pt idx="3">
                  <c:v>81</c:v>
                </c:pt>
                <c:pt idx="4">
                  <c:v>99</c:v>
                </c:pt>
                <c:pt idx="5">
                  <c:v>100</c:v>
                </c:pt>
                <c:pt idx="6">
                  <c:v>93</c:v>
                </c:pt>
                <c:pt idx="7">
                  <c:v>95</c:v>
                </c:pt>
                <c:pt idx="8">
                  <c:v>93</c:v>
                </c:pt>
                <c:pt idx="9">
                  <c:v>87</c:v>
                </c:pt>
              </c:numCache>
            </c:numRef>
          </c:xVal>
          <c:yVal>
            <c:numRef>
              <c:f>Sheet1!$B$38:$B$47</c:f>
              <c:numCache>
                <c:formatCode>General</c:formatCode>
                <c:ptCount val="10"/>
                <c:pt idx="0">
                  <c:v>218.31116951379767</c:v>
                </c:pt>
                <c:pt idx="1">
                  <c:v>130.98396846254929</c:v>
                </c:pt>
                <c:pt idx="2">
                  <c:v>184.72378449408671</c:v>
                </c:pt>
                <c:pt idx="3">
                  <c:v>124.26649145860705</c:v>
                </c:pt>
                <c:pt idx="4">
                  <c:v>245.18107752956638</c:v>
                </c:pt>
                <c:pt idx="5">
                  <c:v>251.8985545335085</c:v>
                </c:pt>
                <c:pt idx="6">
                  <c:v>204.87621550591331</c:v>
                </c:pt>
                <c:pt idx="7">
                  <c:v>218.31116951379767</c:v>
                </c:pt>
                <c:pt idx="8">
                  <c:v>204.87621550591331</c:v>
                </c:pt>
                <c:pt idx="9">
                  <c:v>164.57135348226024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0B-402D-B784-A94EB138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27248"/>
        <c:axId val="375829648"/>
      </c:scatterChart>
      <c:valAx>
        <c:axId val="375827248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5829648"/>
        <c:crosses val="autoZero"/>
        <c:crossBetween val="midCat"/>
      </c:valAx>
      <c:valAx>
        <c:axId val="375829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5827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F297E01C-05A4-4783-9BAD-69901DE6B20A}">
          <cx:tx>
            <cx:txData>
              <cx:f>_xlchart.v1.1</cx:f>
              <cx:v>Residuos</cx:v>
            </cx:txData>
          </cx:tx>
          <cx:dataId val="0"/>
          <cx:layoutPr>
            <cx:binning intervalClosed="r">
              <cx:binSize val="24.8699080157687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400611</xdr:colOff>
      <xdr:row>0</xdr:row>
      <xdr:rowOff>122424</xdr:rowOff>
    </xdr:from>
    <xdr:to>
      <xdr:col>11</xdr:col>
      <xdr:colOff>95811</xdr:colOff>
      <xdr:row>14</xdr:row>
      <xdr:rowOff>181255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B97AD2-A731-2FE0-AC9D-09A7101A5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949138</xdr:colOff>
      <xdr:row>31</xdr:row>
      <xdr:rowOff>165286</xdr:rowOff>
    </xdr:from>
    <xdr:to>
      <xdr:col>9</xdr:col>
      <xdr:colOff>198344</xdr:colOff>
      <xdr:row>41</xdr:row>
      <xdr:rowOff>187698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396C12-578B-E30D-CF27-69B831560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366432</xdr:colOff>
      <xdr:row>31</xdr:row>
      <xdr:rowOff>109257</xdr:rowOff>
    </xdr:from>
    <xdr:to>
      <xdr:col>16</xdr:col>
      <xdr:colOff>366432</xdr:colOff>
      <xdr:row>41</xdr:row>
      <xdr:rowOff>120463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FB706D-241A-803F-02B8-D218F8E22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532277</xdr:colOff>
      <xdr:row>42</xdr:row>
      <xdr:rowOff>158002</xdr:rowOff>
    </xdr:from>
    <xdr:to>
      <xdr:col>10</xdr:col>
      <xdr:colOff>571498</xdr:colOff>
      <xdr:row>57</xdr:row>
      <xdr:rowOff>32496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3AC0C69B-EC46-F3DA-21A8-90D4B60113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4748" y="8237443"/>
              <a:ext cx="613522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zoomScale="85" zoomScaleNormal="85" workbookViewId="0">
      <selection activeCell="G25" sqref="G25"/>
    </sheetView>
  </sheetViews>
  <sheetFormatPr baseColWidth="10" defaultColWidth="9.140625" defaultRowHeight="15" x14ac:dyDescent="0.25"/>
  <cols>
    <col min="1" max="1" width="34.85546875" customWidth="1"/>
    <col min="2" max="2" width="20.85546875" customWidth="1"/>
    <col min="3" max="3" width="22" customWidth="1"/>
    <col min="4" max="4" width="27.28515625" customWidth="1"/>
    <col min="5" max="6" width="16.7109375" customWidth="1"/>
    <col min="7" max="7" width="15.7109375" customWidth="1"/>
    <col min="8" max="8" width="16.5703125" customWidth="1"/>
    <col min="9" max="9" width="16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95</v>
      </c>
      <c r="C2">
        <v>214</v>
      </c>
    </row>
    <row r="3" spans="1:3" x14ac:dyDescent="0.25">
      <c r="A3">
        <v>2</v>
      </c>
      <c r="B3">
        <v>82</v>
      </c>
      <c r="C3">
        <v>152</v>
      </c>
    </row>
    <row r="4" spans="1:3" x14ac:dyDescent="0.25">
      <c r="A4">
        <v>3</v>
      </c>
      <c r="B4">
        <v>90</v>
      </c>
      <c r="C4">
        <v>156</v>
      </c>
    </row>
    <row r="5" spans="1:3" x14ac:dyDescent="0.25">
      <c r="A5">
        <v>4</v>
      </c>
      <c r="B5">
        <v>81</v>
      </c>
      <c r="C5">
        <v>129</v>
      </c>
    </row>
    <row r="6" spans="1:3" x14ac:dyDescent="0.25">
      <c r="A6">
        <v>5</v>
      </c>
      <c r="B6">
        <v>99</v>
      </c>
      <c r="C6">
        <v>254</v>
      </c>
    </row>
    <row r="7" spans="1:3" x14ac:dyDescent="0.25">
      <c r="A7">
        <v>6</v>
      </c>
      <c r="B7">
        <v>100</v>
      </c>
      <c r="C7">
        <v>266</v>
      </c>
    </row>
    <row r="8" spans="1:3" x14ac:dyDescent="0.25">
      <c r="A8">
        <v>7</v>
      </c>
      <c r="B8">
        <v>93</v>
      </c>
      <c r="C8">
        <v>210</v>
      </c>
    </row>
    <row r="9" spans="1:3" x14ac:dyDescent="0.25">
      <c r="A9">
        <v>8</v>
      </c>
      <c r="B9">
        <v>95</v>
      </c>
      <c r="C9">
        <v>204</v>
      </c>
    </row>
    <row r="10" spans="1:3" x14ac:dyDescent="0.25">
      <c r="A10">
        <v>9</v>
      </c>
      <c r="B10">
        <v>93</v>
      </c>
      <c r="C10">
        <v>213</v>
      </c>
    </row>
    <row r="11" spans="1:3" x14ac:dyDescent="0.25">
      <c r="A11">
        <v>10</v>
      </c>
      <c r="B11">
        <v>87</v>
      </c>
      <c r="C11">
        <v>150</v>
      </c>
    </row>
    <row r="14" spans="1:3" x14ac:dyDescent="0.25">
      <c r="A14" t="s">
        <v>3</v>
      </c>
    </row>
    <row r="15" spans="1:3" ht="15.75" thickBot="1" x14ac:dyDescent="0.3"/>
    <row r="16" spans="1:3" x14ac:dyDescent="0.25">
      <c r="A16" s="5" t="s">
        <v>4</v>
      </c>
      <c r="B16" s="5"/>
    </row>
    <row r="17" spans="1:9" x14ac:dyDescent="0.25">
      <c r="A17" s="2" t="s">
        <v>5</v>
      </c>
      <c r="B17" s="6">
        <v>0.94409303370396069</v>
      </c>
      <c r="D17" s="7" t="s">
        <v>31</v>
      </c>
    </row>
    <row r="18" spans="1:9" x14ac:dyDescent="0.25">
      <c r="A18" s="2" t="s">
        <v>6</v>
      </c>
      <c r="B18" s="6">
        <v>0.89131165628834785</v>
      </c>
      <c r="D18" t="s">
        <v>26</v>
      </c>
    </row>
    <row r="19" spans="1:9" x14ac:dyDescent="0.25">
      <c r="A19" s="2" t="s">
        <v>7</v>
      </c>
      <c r="B19" s="2">
        <v>0.87772561332439136</v>
      </c>
      <c r="D19" t="s">
        <v>32</v>
      </c>
    </row>
    <row r="20" spans="1:9" x14ac:dyDescent="0.25">
      <c r="A20" s="2" t="s">
        <v>8</v>
      </c>
      <c r="B20" s="2">
        <v>16.177641893689973</v>
      </c>
      <c r="D20" t="s">
        <v>33</v>
      </c>
    </row>
    <row r="21" spans="1:9" ht="15.75" thickBot="1" x14ac:dyDescent="0.3">
      <c r="A21" s="3" t="s">
        <v>9</v>
      </c>
      <c r="B21" s="3">
        <v>10</v>
      </c>
      <c r="D21" t="s">
        <v>34</v>
      </c>
    </row>
    <row r="23" spans="1:9" ht="15.75" thickBot="1" x14ac:dyDescent="0.3">
      <c r="A23" t="s">
        <v>10</v>
      </c>
    </row>
    <row r="24" spans="1:9" x14ac:dyDescent="0.25">
      <c r="A24" s="4"/>
      <c r="B24" s="4" t="s">
        <v>14</v>
      </c>
      <c r="C24" s="4" t="s">
        <v>15</v>
      </c>
      <c r="D24" s="4" t="s">
        <v>16</v>
      </c>
      <c r="E24" s="4" t="s">
        <v>17</v>
      </c>
      <c r="F24" s="4" t="s">
        <v>18</v>
      </c>
    </row>
    <row r="25" spans="1:9" x14ac:dyDescent="0.25">
      <c r="A25" s="2" t="s">
        <v>11</v>
      </c>
      <c r="B25" s="2">
        <v>1</v>
      </c>
      <c r="C25" s="2">
        <v>17169.871222076217</v>
      </c>
      <c r="D25" s="2">
        <v>17169.871222076217</v>
      </c>
      <c r="E25" s="2">
        <v>65.604949038728805</v>
      </c>
      <c r="F25" s="2">
        <v>3.9939570240746026E-5</v>
      </c>
    </row>
    <row r="26" spans="1:9" x14ac:dyDescent="0.25">
      <c r="A26" s="2" t="s">
        <v>12</v>
      </c>
      <c r="B26" s="2">
        <v>8</v>
      </c>
      <c r="C26" s="2">
        <v>2093.7287779237831</v>
      </c>
      <c r="D26" s="6">
        <v>261.71609724047289</v>
      </c>
      <c r="E26" s="2"/>
      <c r="F26" s="2"/>
    </row>
    <row r="27" spans="1:9" ht="15.75" thickBot="1" x14ac:dyDescent="0.3">
      <c r="A27" s="3" t="s">
        <v>13</v>
      </c>
      <c r="B27" s="3">
        <v>9</v>
      </c>
      <c r="C27" s="3">
        <v>19263.599999999999</v>
      </c>
      <c r="D27" s="3"/>
      <c r="E27" s="3"/>
      <c r="F27" s="3"/>
    </row>
    <row r="28" spans="1:9" ht="15.75" thickBot="1" x14ac:dyDescent="0.3"/>
    <row r="29" spans="1:9" x14ac:dyDescent="0.25">
      <c r="A29" s="4"/>
      <c r="B29" s="4" t="s">
        <v>19</v>
      </c>
      <c r="C29" s="4" t="s">
        <v>8</v>
      </c>
      <c r="D29" s="4" t="s">
        <v>20</v>
      </c>
      <c r="E29" s="4" t="s">
        <v>21</v>
      </c>
      <c r="F29" s="4" t="s">
        <v>22</v>
      </c>
      <c r="G29" s="4" t="s">
        <v>23</v>
      </c>
      <c r="H29" s="4" t="s">
        <v>24</v>
      </c>
      <c r="I29" s="4" t="s">
        <v>25</v>
      </c>
    </row>
    <row r="30" spans="1:9" x14ac:dyDescent="0.25">
      <c r="A30" s="2" t="s">
        <v>35</v>
      </c>
      <c r="B30" s="2">
        <v>-419.8491458607096</v>
      </c>
      <c r="C30" s="2">
        <v>76.057777550646492</v>
      </c>
      <c r="D30" s="2">
        <v>-5.5201342897658847</v>
      </c>
      <c r="E30" s="2">
        <v>5.6029324373272043E-4</v>
      </c>
      <c r="F30" s="2">
        <v>-595.23869540693909</v>
      </c>
      <c r="G30" s="2">
        <v>-244.45959631448011</v>
      </c>
      <c r="H30" s="2">
        <v>-595.23869540693909</v>
      </c>
      <c r="I30" s="2">
        <v>-244.45959631448011</v>
      </c>
    </row>
    <row r="31" spans="1:9" ht="15.75" thickBot="1" x14ac:dyDescent="0.3">
      <c r="A31" s="3" t="s">
        <v>36</v>
      </c>
      <c r="B31" s="3">
        <v>6.7174770039421814</v>
      </c>
      <c r="C31" s="3">
        <v>0.82935007285160134</v>
      </c>
      <c r="D31" s="3">
        <v>8.0996882062662632</v>
      </c>
      <c r="E31" s="3">
        <v>3.9939570240746094E-5</v>
      </c>
      <c r="F31" s="3">
        <v>4.8049923064145119</v>
      </c>
      <c r="G31" s="3">
        <v>8.6299617014698509</v>
      </c>
      <c r="H31" s="3">
        <v>4.8049923064145119</v>
      </c>
      <c r="I31" s="3">
        <v>8.6299617014698509</v>
      </c>
    </row>
    <row r="35" spans="1:4" x14ac:dyDescent="0.25">
      <c r="A35" t="s">
        <v>27</v>
      </c>
    </row>
    <row r="36" spans="1:4" ht="15.75" thickBot="1" x14ac:dyDescent="0.3"/>
    <row r="37" spans="1:4" x14ac:dyDescent="0.25">
      <c r="A37" s="4" t="s">
        <v>28</v>
      </c>
      <c r="B37" s="4" t="s">
        <v>29</v>
      </c>
      <c r="C37" s="4" t="s">
        <v>12</v>
      </c>
      <c r="D37" s="4" t="s">
        <v>30</v>
      </c>
    </row>
    <row r="38" spans="1:4" x14ac:dyDescent="0.25">
      <c r="A38" s="2">
        <v>1</v>
      </c>
      <c r="B38" s="2">
        <v>218.31116951379767</v>
      </c>
      <c r="C38" s="2">
        <v>-4.3111695137976653</v>
      </c>
      <c r="D38" s="2">
        <v>-0.28265465555027003</v>
      </c>
    </row>
    <row r="39" spans="1:4" x14ac:dyDescent="0.25">
      <c r="A39" s="2">
        <v>2</v>
      </c>
      <c r="B39" s="2">
        <v>130.98396846254929</v>
      </c>
      <c r="C39" s="2">
        <v>21.016031537450715</v>
      </c>
      <c r="D39" s="2">
        <v>1.3778811378769034</v>
      </c>
    </row>
    <row r="40" spans="1:4" x14ac:dyDescent="0.25">
      <c r="A40" s="2">
        <v>3</v>
      </c>
      <c r="B40" s="2">
        <v>184.72378449408671</v>
      </c>
      <c r="C40" s="2">
        <v>-28.723784494086715</v>
      </c>
      <c r="D40" s="2">
        <v>-1.8832271350713838</v>
      </c>
    </row>
    <row r="41" spans="1:4" x14ac:dyDescent="0.25">
      <c r="A41" s="2">
        <v>4</v>
      </c>
      <c r="B41" s="2">
        <v>124.26649145860705</v>
      </c>
      <c r="C41" s="2">
        <v>4.7335085413929505</v>
      </c>
      <c r="D41" s="2">
        <v>0.31034461113849837</v>
      </c>
    </row>
    <row r="42" spans="1:4" x14ac:dyDescent="0.25">
      <c r="A42" s="2">
        <v>5</v>
      </c>
      <c r="B42" s="2">
        <v>245.18107752956638</v>
      </c>
      <c r="C42" s="2">
        <v>8.8189224704336198</v>
      </c>
      <c r="D42" s="2">
        <v>0.57819797742287082</v>
      </c>
    </row>
    <row r="43" spans="1:4" x14ac:dyDescent="0.25">
      <c r="A43" s="2">
        <v>6</v>
      </c>
      <c r="B43" s="2">
        <v>251.8985545335085</v>
      </c>
      <c r="C43" s="2">
        <v>14.101445466491498</v>
      </c>
      <c r="D43" s="2">
        <v>0.92453780774233252</v>
      </c>
    </row>
    <row r="44" spans="1:4" x14ac:dyDescent="0.25">
      <c r="A44" s="2">
        <v>7</v>
      </c>
      <c r="B44" s="2">
        <v>204.87621550591331</v>
      </c>
      <c r="C44" s="2">
        <v>5.1237844940866921</v>
      </c>
      <c r="D44" s="2">
        <v>0.33593240457254248</v>
      </c>
    </row>
    <row r="45" spans="1:4" x14ac:dyDescent="0.25">
      <c r="A45" s="2">
        <v>8</v>
      </c>
      <c r="B45" s="2">
        <v>218.31116951379767</v>
      </c>
      <c r="C45" s="2">
        <v>-14.311169513797665</v>
      </c>
      <c r="D45" s="2">
        <v>-0.93828801593113431</v>
      </c>
    </row>
    <row r="46" spans="1:4" x14ac:dyDescent="0.25">
      <c r="A46" s="2">
        <v>9</v>
      </c>
      <c r="B46" s="2">
        <v>204.87621550591331</v>
      </c>
      <c r="C46" s="2">
        <v>8.1237844940866921</v>
      </c>
      <c r="D46" s="2">
        <v>0.53262241268680177</v>
      </c>
    </row>
    <row r="47" spans="1:4" ht="15.75" thickBot="1" x14ac:dyDescent="0.3">
      <c r="A47" s="3">
        <v>10</v>
      </c>
      <c r="B47" s="3">
        <v>164.57135348226024</v>
      </c>
      <c r="C47" s="3">
        <v>-14.571353482260236</v>
      </c>
      <c r="D47" s="3">
        <v>-0.95534654488716875</v>
      </c>
    </row>
    <row r="48" spans="1:4" x14ac:dyDescent="0.25">
      <c r="C48">
        <f>AVERAGE(C38:C47)</f>
        <v>-1.1368683772161604E-14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2025-06-11T00:26:06Z</dcterms:created>
  <dcterms:modified xsi:type="dcterms:W3CDTF">2025-06-11T01:08:18Z</dcterms:modified>
</cp:coreProperties>
</file>