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parciales\"/>
    </mc:Choice>
  </mc:AlternateContent>
  <xr:revisionPtr revIDLastSave="0" documentId="8_{95466AFC-08DF-4789-BBD6-EFDF008E4CFF}" xr6:coauthVersionLast="47" xr6:coauthVersionMax="47" xr10:uidLastSave="{00000000-0000-0000-0000-000000000000}"/>
  <bookViews>
    <workbookView xWindow="-120" yWindow="-120" windowWidth="29040" windowHeight="15840" xr2:uid="{6D303094-AE5B-445B-8FCA-13C79FE818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F10" i="1"/>
  <c r="F9" i="1"/>
  <c r="D10" i="1"/>
  <c r="D9" i="1"/>
  <c r="F7" i="1"/>
  <c r="D7" i="1"/>
  <c r="H5" i="1"/>
  <c r="H4" i="1"/>
  <c r="F5" i="1"/>
  <c r="F4" i="1"/>
  <c r="D5" i="1"/>
  <c r="D4" i="1"/>
  <c r="B3" i="1"/>
  <c r="F6" i="1" l="1"/>
  <c r="F8" i="1" s="1"/>
  <c r="H6" i="1"/>
  <c r="H8" i="1" s="1"/>
  <c r="D6" i="1"/>
  <c r="D8" i="1" s="1"/>
  <c r="H10" i="1" l="1"/>
  <c r="H9" i="1"/>
</calcChain>
</file>

<file path=xl/sharedStrings.xml><?xml version="1.0" encoding="utf-8"?>
<sst xmlns="http://schemas.openxmlformats.org/spreadsheetml/2006/main" count="34" uniqueCount="17">
  <si>
    <t>proporcion 1</t>
  </si>
  <si>
    <t>proporcion 2</t>
  </si>
  <si>
    <t>diff</t>
  </si>
  <si>
    <t>nivel confianza</t>
  </si>
  <si>
    <t>alfa</t>
  </si>
  <si>
    <t>alfa / 2</t>
  </si>
  <si>
    <t>calculo valor critico</t>
  </si>
  <si>
    <t>calculo sp</t>
  </si>
  <si>
    <t>PRIMER PLAN</t>
  </si>
  <si>
    <t>n1</t>
  </si>
  <si>
    <t>n2</t>
  </si>
  <si>
    <t>margen error</t>
  </si>
  <si>
    <t>limite inferior</t>
  </si>
  <si>
    <t>limite superior</t>
  </si>
  <si>
    <t>SEGUNDO PLAN</t>
  </si>
  <si>
    <t>TERCER PLAN</t>
  </si>
  <si>
    <t>margen error (error estandar)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</si>
</sst>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</xdr:colOff>
      <xdr:row>4</xdr:row>
      <xdr:rowOff>142875</xdr:rowOff>
    </xdr:from>
    <xdr:to>
      <xdr:col>16</xdr:col>
      <xdr:colOff>266202</xdr:colOff>
      <xdr:row>10</xdr:row>
      <xdr:rowOff>28446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78AA19-0127-4E9A-AEC5-0362F3887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3575" y="904875"/>
          <a:ext cx="3980952" cy="10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F96D-B0F6-4ADB-99E7-3B86147B0CE2}">
  <dimension ref="A1:H10"/>
  <sheetViews>
    <sheetView tabSelected="1" workbookViewId="0">
      <selection activeCell="E14" sqref="E14"/>
    </sheetView>
  </sheetViews>
  <sheetFormatPr baseColWidth="10" defaultRowHeight="15" x14ac:dyDescent="0.25"/>
  <cols>
    <col min="1" max="1" width="15" customWidth="1"/>
    <col min="3" max="3" width="24" customWidth="1"/>
    <col min="4" max="4" width="15.85546875" customWidth="1"/>
    <col min="5" max="5" width="22.85546875" customWidth="1"/>
    <col min="6" max="6" width="13.5703125" customWidth="1"/>
    <col min="7" max="7" width="20.42578125" customWidth="1"/>
  </cols>
  <sheetData>
    <row r="1" spans="1:8" x14ac:dyDescent="0.25">
      <c r="A1" t="s">
        <v>0</v>
      </c>
      <c r="B1">
        <v>0.155</v>
      </c>
      <c r="C1" s="1" t="s">
        <v>8</v>
      </c>
      <c r="D1" s="1"/>
      <c r="E1" s="1" t="s">
        <v>14</v>
      </c>
      <c r="F1" s="1"/>
      <c r="G1" s="1" t="s">
        <v>15</v>
      </c>
      <c r="H1" s="1"/>
    </row>
    <row r="2" spans="1:8" x14ac:dyDescent="0.25">
      <c r="A2" t="s">
        <v>1</v>
      </c>
      <c r="B2">
        <v>0.12</v>
      </c>
      <c r="C2" s="1" t="s">
        <v>9</v>
      </c>
      <c r="D2" s="1">
        <v>500</v>
      </c>
      <c r="E2" s="1" t="s">
        <v>9</v>
      </c>
      <c r="F2" s="1">
        <v>400</v>
      </c>
      <c r="G2" s="1" t="s">
        <v>9</v>
      </c>
      <c r="H2" s="1">
        <v>450</v>
      </c>
    </row>
    <row r="3" spans="1:8" x14ac:dyDescent="0.25">
      <c r="A3" t="s">
        <v>2</v>
      </c>
      <c r="B3">
        <f>B1-B2</f>
        <v>3.5000000000000003E-2</v>
      </c>
      <c r="C3" s="1" t="s">
        <v>10</v>
      </c>
      <c r="D3" s="1">
        <v>100</v>
      </c>
      <c r="E3" s="1" t="s">
        <v>10</v>
      </c>
      <c r="F3" s="1">
        <v>150</v>
      </c>
      <c r="G3" s="1" t="s">
        <v>10</v>
      </c>
      <c r="H3" s="1">
        <v>125</v>
      </c>
    </row>
    <row r="4" spans="1:8" x14ac:dyDescent="0.25">
      <c r="A4" t="s">
        <v>3</v>
      </c>
      <c r="B4">
        <v>0.95</v>
      </c>
      <c r="C4" s="1" t="s">
        <v>4</v>
      </c>
      <c r="D4" s="1">
        <f>1-$B$4</f>
        <v>5.0000000000000044E-2</v>
      </c>
      <c r="E4" s="1" t="s">
        <v>4</v>
      </c>
      <c r="F4" s="1">
        <f>1-$B$4</f>
        <v>5.0000000000000044E-2</v>
      </c>
      <c r="G4" s="1" t="s">
        <v>4</v>
      </c>
      <c r="H4" s="1">
        <f>1-$B$4</f>
        <v>5.0000000000000044E-2</v>
      </c>
    </row>
    <row r="5" spans="1:8" x14ac:dyDescent="0.25">
      <c r="C5" s="1" t="s">
        <v>5</v>
      </c>
      <c r="D5" s="1">
        <f>$D$4/2</f>
        <v>2.5000000000000022E-2</v>
      </c>
      <c r="E5" s="1" t="s">
        <v>5</v>
      </c>
      <c r="F5" s="1">
        <f>$D$4/2</f>
        <v>2.5000000000000022E-2</v>
      </c>
      <c r="G5" s="1" t="s">
        <v>5</v>
      </c>
      <c r="H5" s="1">
        <f>$D$4/2</f>
        <v>2.5000000000000022E-2</v>
      </c>
    </row>
    <row r="6" spans="1:8" x14ac:dyDescent="0.25">
      <c r="C6" s="1" t="s">
        <v>6</v>
      </c>
      <c r="D6" s="1">
        <f>_xlfn.NORM.S.INV((1-D5))</f>
        <v>1.9599639845400536</v>
      </c>
      <c r="E6" s="1" t="s">
        <v>6</v>
      </c>
      <c r="F6" s="1">
        <f>_xlfn.NORM.S.INV((1-F5))</f>
        <v>1.9599639845400536</v>
      </c>
      <c r="G6" s="1" t="s">
        <v>6</v>
      </c>
      <c r="H6" s="1">
        <f>_xlfn.NORM.S.INV((1-H5))</f>
        <v>1.9599639845400536</v>
      </c>
    </row>
    <row r="7" spans="1:8" x14ac:dyDescent="0.25">
      <c r="C7" s="1" t="s">
        <v>7</v>
      </c>
      <c r="D7" s="1">
        <f>SQRT(($B$1*(1-$B$1))/(D2)+($B$2*(1-$B$2))/(D3))</f>
        <v>3.6303581090575625E-2</v>
      </c>
      <c r="E7" s="1" t="s">
        <v>7</v>
      </c>
      <c r="F7" s="1">
        <f>SQRT(($B$1*(1-$B$1))/(F2)+($B$2*(1-$B$2))/(F3))</f>
        <v>3.2116000685016806E-2</v>
      </c>
      <c r="G7" s="1" t="s">
        <v>7</v>
      </c>
      <c r="H7" s="1">
        <f>SQRT(($B$1*(1-$B$1))/(H2)+($B$2*(1-$B$2))/(H3))</f>
        <v>3.3702456224369695E-2</v>
      </c>
    </row>
    <row r="8" spans="1:8" x14ac:dyDescent="0.25">
      <c r="C8" s="1" t="s">
        <v>11</v>
      </c>
      <c r="D8" s="1">
        <f>D6*D7</f>
        <v>7.1153711447357548E-2</v>
      </c>
      <c r="E8" s="1" t="s">
        <v>16</v>
      </c>
      <c r="F8" s="2">
        <f>F6*F7</f>
        <v>6.2946204670096637E-2</v>
      </c>
      <c r="G8" s="1" t="s">
        <v>11</v>
      </c>
      <c r="H8" s="1">
        <f>H6*H7</f>
        <v>6.6055600390302352E-2</v>
      </c>
    </row>
    <row r="9" spans="1:8" x14ac:dyDescent="0.25">
      <c r="C9" s="1" t="s">
        <v>12</v>
      </c>
      <c r="D9" s="1">
        <f>$B$3-D8</f>
        <v>-3.6153711447357545E-2</v>
      </c>
      <c r="E9" s="1" t="s">
        <v>12</v>
      </c>
      <c r="F9" s="1">
        <f>$B$3-F8</f>
        <v>-2.7946204670096633E-2</v>
      </c>
      <c r="G9" s="1" t="s">
        <v>12</v>
      </c>
      <c r="H9" s="1">
        <f>$B$3-H8</f>
        <v>-3.1055600390302349E-2</v>
      </c>
    </row>
    <row r="10" spans="1:8" x14ac:dyDescent="0.25">
      <c r="C10" s="1" t="s">
        <v>13</v>
      </c>
      <c r="D10" s="1">
        <f>$B$3+D8</f>
        <v>0.10615371144735755</v>
      </c>
      <c r="E10" s="1" t="s">
        <v>13</v>
      </c>
      <c r="F10" s="1">
        <f>$B$3+F8</f>
        <v>9.794620467009664E-2</v>
      </c>
      <c r="G10" s="1" t="s">
        <v>13</v>
      </c>
      <c r="H10" s="1">
        <f>$B$3+H8</f>
        <v>0.10105560039030236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2025-06-11T02:56:42Z</dcterms:created>
  <dcterms:modified xsi:type="dcterms:W3CDTF">2025-06-11T03:17:25Z</dcterms:modified>
</cp:coreProperties>
</file>