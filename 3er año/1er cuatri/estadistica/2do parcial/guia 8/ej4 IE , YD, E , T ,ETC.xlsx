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8\"/>
    </mc:Choice>
  </mc:AlternateContent>
  <xr:revisionPtr revIDLastSave="0" documentId="8_{E5330876-A2E6-4BD2-BF43-B9793ED340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U14" i="1"/>
  <c r="E46" i="1"/>
  <c r="E52" i="1"/>
  <c r="E50" i="1"/>
  <c r="E51" i="1"/>
  <c r="H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K2" i="1" l="1"/>
  <c r="I2" i="1"/>
  <c r="O25" i="1"/>
  <c r="P21" i="1"/>
  <c r="P19" i="1"/>
  <c r="P18" i="1"/>
  <c r="P17" i="1"/>
  <c r="P16" i="1"/>
  <c r="P15" i="1"/>
  <c r="P14" i="1"/>
  <c r="P13" i="1"/>
  <c r="P12" i="1"/>
  <c r="P11" i="1"/>
  <c r="P10" i="1"/>
  <c r="P9" i="1"/>
  <c r="P8" i="1"/>
  <c r="H60" i="1"/>
  <c r="E18" i="1" s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7" i="1"/>
  <c r="E48" i="1"/>
  <c r="E49" i="1"/>
  <c r="E2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8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7" i="1"/>
  <c r="E5" i="1" l="1"/>
  <c r="E3" i="1"/>
</calcChain>
</file>

<file path=xl/sharedStrings.xml><?xml version="1.0" encoding="utf-8"?>
<sst xmlns="http://schemas.openxmlformats.org/spreadsheetml/2006/main" count="87" uniqueCount="48">
  <si>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</si>
  <si>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</si>
  <si>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</si>
  <si>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</si>
  <si>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</si>
  <si>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</si>
  <si>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</si>
  <si>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</si>
  <si>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</si>
  <si>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</si>
  <si>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</si>
  <si>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</si>
  <si>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</si>
  <si>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Y</t>
  </si>
  <si>
    <t>X</t>
  </si>
  <si>
    <t>Xc</t>
  </si>
  <si>
    <t>Pm12</t>
  </si>
  <si>
    <t>Pm12C</t>
  </si>
  <si>
    <t>Y/Pm12C=E</t>
  </si>
  <si>
    <t>PROMEDIO MESES</t>
  </si>
  <si>
    <t>IE</t>
  </si>
  <si>
    <t>xc</t>
  </si>
  <si>
    <t>Yd=Y/IE</t>
  </si>
  <si>
    <t>CI</t>
  </si>
  <si>
    <t>MEDIANA ENERO</t>
  </si>
  <si>
    <t>MEDIANA FEBRERO</t>
  </si>
  <si>
    <t>MEDIANA MARZO</t>
  </si>
  <si>
    <t>MEDIANA ABRIL</t>
  </si>
  <si>
    <t>MEDIANA MAYO</t>
  </si>
  <si>
    <t>MEDIANA JUNIO</t>
  </si>
  <si>
    <t>MEDIANA JULIO</t>
  </si>
  <si>
    <t>MEDIANA AGOSTO</t>
  </si>
  <si>
    <t>MEDIANA SEPT</t>
  </si>
  <si>
    <t>MEDIANA OCT</t>
  </si>
  <si>
    <t>MEDIANA NOV</t>
  </si>
  <si>
    <t>MEDIANA DIC</t>
  </si>
  <si>
    <t>TOTAL</t>
  </si>
  <si>
    <t>TOTAL != N(12)</t>
  </si>
  <si>
    <t>ENTONCES CALC FACTOR CORRECCION</t>
  </si>
  <si>
    <t>IE = MEDIANAMES*FC</t>
  </si>
  <si>
    <t>CI = YD/PM12C</t>
  </si>
  <si>
    <t>y= 0.4316* XCM+26.261</t>
  </si>
  <si>
    <t>y= 0.4316* 53+26.261= 49135</t>
  </si>
  <si>
    <t>prediccion marzo 2004 con estacionalidad</t>
  </si>
  <si>
    <t>prediccion marzo 2004 sin estacionalidad</t>
  </si>
  <si>
    <t>PARA CALCULAR IE:</t>
  </si>
  <si>
    <t>PARA PREDECIR</t>
  </si>
  <si>
    <t>xcm: xc del mes a predec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</si>
</sst>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/>
    <xf numFmtId="0" fontId="0" fillId="0" borderId="0" xfId="0" applyAlignment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Serie Xc-Yd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65155293088364"/>
                  <c:y val="-0.137104476523767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Sheet1!$E$2:$E$49</c:f>
              <c:numCache>
                <c:formatCode>General</c:formatCode>
                <c:ptCount val="48"/>
                <c:pt idx="0">
                  <c:v>-47</c:v>
                </c:pt>
                <c:pt idx="1">
                  <c:v>-45</c:v>
                </c:pt>
                <c:pt idx="2">
                  <c:v>-43</c:v>
                </c:pt>
                <c:pt idx="3">
                  <c:v>-41</c:v>
                </c:pt>
                <c:pt idx="4">
                  <c:v>-39</c:v>
                </c:pt>
                <c:pt idx="5">
                  <c:v>-37</c:v>
                </c:pt>
                <c:pt idx="6">
                  <c:v>-35</c:v>
                </c:pt>
                <c:pt idx="7">
                  <c:v>-33</c:v>
                </c:pt>
                <c:pt idx="8">
                  <c:v>-31</c:v>
                </c:pt>
                <c:pt idx="9">
                  <c:v>-29</c:v>
                </c:pt>
                <c:pt idx="10">
                  <c:v>-27</c:v>
                </c:pt>
                <c:pt idx="11">
                  <c:v>-25</c:v>
                </c:pt>
                <c:pt idx="12">
                  <c:v>-23</c:v>
                </c:pt>
                <c:pt idx="13">
                  <c:v>-21</c:v>
                </c:pt>
                <c:pt idx="14">
                  <c:v>-19</c:v>
                </c:pt>
                <c:pt idx="15">
                  <c:v>-17</c:v>
                </c:pt>
                <c:pt idx="16">
                  <c:v>-15</c:v>
                </c:pt>
                <c:pt idx="17">
                  <c:v>-13</c:v>
                </c:pt>
                <c:pt idx="18">
                  <c:v>-11</c:v>
                </c:pt>
                <c:pt idx="19">
                  <c:v>-9</c:v>
                </c:pt>
                <c:pt idx="20">
                  <c:v>-7</c:v>
                </c:pt>
                <c:pt idx="21">
                  <c:v>-5</c:v>
                </c:pt>
                <c:pt idx="22">
                  <c:v>-3</c:v>
                </c:pt>
                <c:pt idx="23">
                  <c:v>-1</c:v>
                </c:pt>
                <c:pt idx="24">
                  <c:v>1</c:v>
                </c:pt>
                <c:pt idx="25">
                  <c:v>3</c:v>
                </c:pt>
                <c:pt idx="26">
                  <c:v>5</c:v>
                </c:pt>
                <c:pt idx="27">
                  <c:v>7</c:v>
                </c:pt>
                <c:pt idx="28">
                  <c:v>9</c:v>
                </c:pt>
                <c:pt idx="29">
                  <c:v>11</c:v>
                </c:pt>
                <c:pt idx="30">
                  <c:v>13</c:v>
                </c:pt>
                <c:pt idx="31">
                  <c:v>15</c:v>
                </c:pt>
                <c:pt idx="32">
                  <c:v>17</c:v>
                </c:pt>
                <c:pt idx="33">
                  <c:v>19</c:v>
                </c:pt>
                <c:pt idx="34">
                  <c:v>21</c:v>
                </c:pt>
                <c:pt idx="35">
                  <c:v>23</c:v>
                </c:pt>
                <c:pt idx="36">
                  <c:v>25</c:v>
                </c:pt>
                <c:pt idx="37">
                  <c:v>27</c:v>
                </c:pt>
                <c:pt idx="38">
                  <c:v>29</c:v>
                </c:pt>
                <c:pt idx="39">
                  <c:v>31</c:v>
                </c:pt>
                <c:pt idx="40">
                  <c:v>33</c:v>
                </c:pt>
                <c:pt idx="41">
                  <c:v>35</c:v>
                </c:pt>
                <c:pt idx="42">
                  <c:v>37</c:v>
                </c:pt>
                <c:pt idx="43">
                  <c:v>39</c:v>
                </c:pt>
                <c:pt idx="44">
                  <c:v>41</c:v>
                </c:pt>
                <c:pt idx="45">
                  <c:v>43</c:v>
                </c:pt>
                <c:pt idx="46">
                  <c:v>45</c:v>
                </c:pt>
                <c:pt idx="47">
                  <c:v>47</c:v>
                </c:pt>
              </c:numCache>
            </c:numRef>
          </c:xVal>
          <c:yVal>
            <c:numRef>
              <c:f>Sheet1!$K$2:$K$49</c:f>
              <c:numCache>
                <c:formatCode>0.000</c:formatCode>
                <c:ptCount val="48"/>
                <c:pt idx="0">
                  <c:v>12.919999982335211</c:v>
                </c:pt>
                <c:pt idx="1">
                  <c:v>11.961039945383414</c:v>
                </c:pt>
                <c:pt idx="2">
                  <c:v>12.510337493341408</c:v>
                </c:pt>
                <c:pt idx="3">
                  <c:v>13.141784340188938</c:v>
                </c:pt>
                <c:pt idx="4">
                  <c:v>13.153528207153398</c:v>
                </c:pt>
                <c:pt idx="5">
                  <c:v>13.372530370281257</c:v>
                </c:pt>
                <c:pt idx="6">
                  <c:v>12.314492795760467</c:v>
                </c:pt>
                <c:pt idx="7">
                  <c:v>13.406958502203471</c:v>
                </c:pt>
                <c:pt idx="8">
                  <c:v>10.548884890303723</c:v>
                </c:pt>
                <c:pt idx="9">
                  <c:v>12.045956251453024</c:v>
                </c:pt>
                <c:pt idx="10">
                  <c:v>11.933377575489873</c:v>
                </c:pt>
                <c:pt idx="11">
                  <c:v>13.37844688530935</c:v>
                </c:pt>
                <c:pt idx="12">
                  <c:v>12.628054505658785</c:v>
                </c:pt>
                <c:pt idx="13">
                  <c:v>14.083421123710458</c:v>
                </c:pt>
                <c:pt idx="14">
                  <c:v>14.287974844305978</c:v>
                </c:pt>
                <c:pt idx="15">
                  <c:v>19.105715363344704</c:v>
                </c:pt>
                <c:pt idx="16">
                  <c:v>19.183323274074084</c:v>
                </c:pt>
                <c:pt idx="17">
                  <c:v>17.413956029895697</c:v>
                </c:pt>
                <c:pt idx="18">
                  <c:v>16.152059899606471</c:v>
                </c:pt>
                <c:pt idx="19">
                  <c:v>14.189816982174811</c:v>
                </c:pt>
                <c:pt idx="20">
                  <c:v>22.096180381815255</c:v>
                </c:pt>
                <c:pt idx="21">
                  <c:v>28.071502366364118</c:v>
                </c:pt>
                <c:pt idx="22">
                  <c:v>25.910877372595159</c:v>
                </c:pt>
                <c:pt idx="23">
                  <c:v>24.502939945283082</c:v>
                </c:pt>
                <c:pt idx="24">
                  <c:v>30.691003675510036</c:v>
                </c:pt>
                <c:pt idx="25">
                  <c:v>26.547476541496611</c:v>
                </c:pt>
                <c:pt idx="26">
                  <c:v>27.483339847576794</c:v>
                </c:pt>
                <c:pt idx="27">
                  <c:v>27.968844468950355</c:v>
                </c:pt>
                <c:pt idx="28">
                  <c:v>28.35621995221118</c:v>
                </c:pt>
                <c:pt idx="29">
                  <c:v>29.037289213490901</c:v>
                </c:pt>
                <c:pt idx="30">
                  <c:v>31.535818376985045</c:v>
                </c:pt>
                <c:pt idx="31">
                  <c:v>30.195825075267589</c:v>
                </c:pt>
                <c:pt idx="32">
                  <c:v>31.052261918920923</c:v>
                </c:pt>
                <c:pt idx="33">
                  <c:v>31.983815495740807</c:v>
                </c:pt>
                <c:pt idx="34">
                  <c:v>32.838497847527663</c:v>
                </c:pt>
                <c:pt idx="35">
                  <c:v>33.749283136904971</c:v>
                </c:pt>
                <c:pt idx="36">
                  <c:v>34.729268849666568</c:v>
                </c:pt>
                <c:pt idx="37">
                  <c:v>35.847696211333144</c:v>
                </c:pt>
                <c:pt idx="38">
                  <c:v>38.148260223140035</c:v>
                </c:pt>
                <c:pt idx="39">
                  <c:v>38.284378291344602</c:v>
                </c:pt>
                <c:pt idx="40">
                  <c:v>38.77753010882541</c:v>
                </c:pt>
                <c:pt idx="41">
                  <c:v>41.771321549664925</c:v>
                </c:pt>
                <c:pt idx="42">
                  <c:v>42.974644551770382</c:v>
                </c:pt>
                <c:pt idx="43">
                  <c:v>46.216030083800263</c:v>
                </c:pt>
                <c:pt idx="44">
                  <c:v>45.68891902709349</c:v>
                </c:pt>
                <c:pt idx="45">
                  <c:v>51.912552471000609</c:v>
                </c:pt>
                <c:pt idx="46">
                  <c:v>57.872996380559364</c:v>
                </c:pt>
                <c:pt idx="47">
                  <c:v>48.567441940751742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3C4-4512-B0B9-E0B946321C0F}"/>
            </c:ext>
          </c:extLst>
        </c:ser>
        <c:ser>
          <c:idx val="1"/>
          <c:order val="1"/>
          <c:tx>
            <c:v>Serie Xc-Y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Sheet1!$E$2:$E$49</c:f>
              <c:numCache>
                <c:formatCode>General</c:formatCode>
                <c:ptCount val="48"/>
                <c:pt idx="0">
                  <c:v>-47</c:v>
                </c:pt>
                <c:pt idx="1">
                  <c:v>-45</c:v>
                </c:pt>
                <c:pt idx="2">
                  <c:v>-43</c:v>
                </c:pt>
                <c:pt idx="3">
                  <c:v>-41</c:v>
                </c:pt>
                <c:pt idx="4">
                  <c:v>-39</c:v>
                </c:pt>
                <c:pt idx="5">
                  <c:v>-37</c:v>
                </c:pt>
                <c:pt idx="6">
                  <c:v>-35</c:v>
                </c:pt>
                <c:pt idx="7">
                  <c:v>-33</c:v>
                </c:pt>
                <c:pt idx="8">
                  <c:v>-31</c:v>
                </c:pt>
                <c:pt idx="9">
                  <c:v>-29</c:v>
                </c:pt>
                <c:pt idx="10">
                  <c:v>-27</c:v>
                </c:pt>
                <c:pt idx="11">
                  <c:v>-25</c:v>
                </c:pt>
                <c:pt idx="12">
                  <c:v>-23</c:v>
                </c:pt>
                <c:pt idx="13">
                  <c:v>-21</c:v>
                </c:pt>
                <c:pt idx="14">
                  <c:v>-19</c:v>
                </c:pt>
                <c:pt idx="15">
                  <c:v>-17</c:v>
                </c:pt>
                <c:pt idx="16">
                  <c:v>-15</c:v>
                </c:pt>
                <c:pt idx="17">
                  <c:v>-13</c:v>
                </c:pt>
                <c:pt idx="18">
                  <c:v>-11</c:v>
                </c:pt>
                <c:pt idx="19">
                  <c:v>-9</c:v>
                </c:pt>
                <c:pt idx="20">
                  <c:v>-7</c:v>
                </c:pt>
                <c:pt idx="21">
                  <c:v>-5</c:v>
                </c:pt>
                <c:pt idx="22">
                  <c:v>-3</c:v>
                </c:pt>
                <c:pt idx="23">
                  <c:v>-1</c:v>
                </c:pt>
                <c:pt idx="24">
                  <c:v>1</c:v>
                </c:pt>
                <c:pt idx="25">
                  <c:v>3</c:v>
                </c:pt>
                <c:pt idx="26">
                  <c:v>5</c:v>
                </c:pt>
                <c:pt idx="27">
                  <c:v>7</c:v>
                </c:pt>
                <c:pt idx="28">
                  <c:v>9</c:v>
                </c:pt>
                <c:pt idx="29">
                  <c:v>11</c:v>
                </c:pt>
                <c:pt idx="30">
                  <c:v>13</c:v>
                </c:pt>
                <c:pt idx="31">
                  <c:v>15</c:v>
                </c:pt>
                <c:pt idx="32">
                  <c:v>17</c:v>
                </c:pt>
                <c:pt idx="33">
                  <c:v>19</c:v>
                </c:pt>
                <c:pt idx="34">
                  <c:v>21</c:v>
                </c:pt>
                <c:pt idx="35">
                  <c:v>23</c:v>
                </c:pt>
                <c:pt idx="36">
                  <c:v>25</c:v>
                </c:pt>
                <c:pt idx="37">
                  <c:v>27</c:v>
                </c:pt>
                <c:pt idx="38">
                  <c:v>29</c:v>
                </c:pt>
                <c:pt idx="39">
                  <c:v>31</c:v>
                </c:pt>
                <c:pt idx="40">
                  <c:v>33</c:v>
                </c:pt>
                <c:pt idx="41">
                  <c:v>35</c:v>
                </c:pt>
                <c:pt idx="42">
                  <c:v>37</c:v>
                </c:pt>
                <c:pt idx="43">
                  <c:v>39</c:v>
                </c:pt>
                <c:pt idx="44">
                  <c:v>41</c:v>
                </c:pt>
                <c:pt idx="45">
                  <c:v>43</c:v>
                </c:pt>
                <c:pt idx="46">
                  <c:v>45</c:v>
                </c:pt>
                <c:pt idx="47">
                  <c:v>47</c:v>
                </c:pt>
              </c:numCache>
            </c:numRef>
          </c:xVal>
          <c:yVal>
            <c:numRef>
              <c:f>Sheet1!$C$2:$C$49</c:f>
              <c:numCache>
                <c:formatCode>General</c:formatCode>
                <c:ptCount val="48"/>
                <c:pt idx="0">
                  <c:v>13.718999999999999</c:v>
                </c:pt>
                <c:pt idx="1">
                  <c:v>11.818</c:v>
                </c:pt>
                <c:pt idx="2">
                  <c:v>13.843</c:v>
                </c:pt>
                <c:pt idx="3">
                  <c:v>14.052</c:v>
                </c:pt>
                <c:pt idx="4">
                  <c:v>12.516999999999999</c:v>
                </c:pt>
                <c:pt idx="5">
                  <c:v>13.026999999999999</c:v>
                </c:pt>
                <c:pt idx="6">
                  <c:v>12.502000000000001</c:v>
                </c:pt>
                <c:pt idx="7">
                  <c:v>13.221</c:v>
                </c:pt>
                <c:pt idx="8">
                  <c:v>9.9740000000000002</c:v>
                </c:pt>
                <c:pt idx="9">
                  <c:v>10.564</c:v>
                </c:pt>
                <c:pt idx="10">
                  <c:v>10.444000000000001</c:v>
                </c:pt>
                <c:pt idx="11">
                  <c:v>15.379</c:v>
                </c:pt>
                <c:pt idx="12">
                  <c:v>13.409000000000001</c:v>
                </c:pt>
                <c:pt idx="13">
                  <c:v>13.914999999999999</c:v>
                </c:pt>
                <c:pt idx="14">
                  <c:v>15.81</c:v>
                </c:pt>
                <c:pt idx="15">
                  <c:v>20.428999999999998</c:v>
                </c:pt>
                <c:pt idx="16">
                  <c:v>18.254999999999999</c:v>
                </c:pt>
                <c:pt idx="17">
                  <c:v>16.963999999999999</c:v>
                </c:pt>
                <c:pt idx="18">
                  <c:v>16.398</c:v>
                </c:pt>
                <c:pt idx="19">
                  <c:v>13.993</c:v>
                </c:pt>
                <c:pt idx="20">
                  <c:v>20.891999999999999</c:v>
                </c:pt>
                <c:pt idx="21">
                  <c:v>24.617999999999999</c:v>
                </c:pt>
                <c:pt idx="22">
                  <c:v>22.677</c:v>
                </c:pt>
                <c:pt idx="23">
                  <c:v>28.167000000000002</c:v>
                </c:pt>
                <c:pt idx="24">
                  <c:v>32.588999999999999</c:v>
                </c:pt>
                <c:pt idx="25">
                  <c:v>26.23</c:v>
                </c:pt>
                <c:pt idx="26">
                  <c:v>30.411000000000001</c:v>
                </c:pt>
                <c:pt idx="27">
                  <c:v>29.905999999999999</c:v>
                </c:pt>
                <c:pt idx="28">
                  <c:v>26.984000000000002</c:v>
                </c:pt>
                <c:pt idx="29">
                  <c:v>28.286999999999999</c:v>
                </c:pt>
                <c:pt idx="30">
                  <c:v>32.015999999999998</c:v>
                </c:pt>
                <c:pt idx="31">
                  <c:v>29.777000000000001</c:v>
                </c:pt>
                <c:pt idx="32">
                  <c:v>29.36</c:v>
                </c:pt>
                <c:pt idx="33">
                  <c:v>28.048999999999999</c:v>
                </c:pt>
                <c:pt idx="34">
                  <c:v>28.74</c:v>
                </c:pt>
                <c:pt idx="35">
                  <c:v>38.795999999999999</c:v>
                </c:pt>
                <c:pt idx="36">
                  <c:v>36.877000000000002</c:v>
                </c:pt>
                <c:pt idx="37">
                  <c:v>35.418999999999997</c:v>
                </c:pt>
                <c:pt idx="38">
                  <c:v>42.212000000000003</c:v>
                </c:pt>
                <c:pt idx="39">
                  <c:v>40.936</c:v>
                </c:pt>
                <c:pt idx="40">
                  <c:v>36.901000000000003</c:v>
                </c:pt>
                <c:pt idx="41">
                  <c:v>40.692</c:v>
                </c:pt>
                <c:pt idx="42">
                  <c:v>43.628999999999998</c:v>
                </c:pt>
                <c:pt idx="43">
                  <c:v>45.575000000000003</c:v>
                </c:pt>
                <c:pt idx="44">
                  <c:v>43.198999999999998</c:v>
                </c:pt>
                <c:pt idx="45">
                  <c:v>45.526000000000003</c:v>
                </c:pt>
                <c:pt idx="46">
                  <c:v>50.65</c:v>
                </c:pt>
                <c:pt idx="47">
                  <c:v>55.83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3C4-4512-B0B9-E0B946321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630672"/>
        <c:axId val="1159623952"/>
      </c:scatterChart>
      <c:valAx>
        <c:axId val="115963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9623952"/>
        <c:crosses val="autoZero"/>
        <c:crossBetween val="midCat"/>
      </c:valAx>
      <c:valAx>
        <c:axId val="11596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963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341778</xdr:colOff>
      <xdr:row>15</xdr:row>
      <xdr:rowOff>11207</xdr:rowOff>
    </xdr:from>
    <xdr:to>
      <xdr:col>28</xdr:col>
      <xdr:colOff>291352</xdr:colOff>
      <xdr:row>34</xdr:row>
      <xdr:rowOff>144557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BF8560-761D-6038-8404-D6BBE49A6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zoomScale="85" zoomScaleNormal="85" workbookViewId="0">
      <selection activeCell="AB10" sqref="AB10"/>
    </sheetView>
  </sheetViews>
  <sheetFormatPr baseColWidth="10" defaultColWidth="9.140625" defaultRowHeight="15" x14ac:dyDescent="0.25"/>
  <cols>
    <col min="8" max="8" width="12.5703125" customWidth="1"/>
    <col min="15" max="15" width="18.5703125" customWidth="1"/>
  </cols>
  <sheetData>
    <row r="1" spans="1:25" x14ac:dyDescent="0.25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25" x14ac:dyDescent="0.25">
      <c r="A2">
        <v>2000</v>
      </c>
      <c r="B2" t="s">
        <v>1</v>
      </c>
      <c r="C2">
        <v>13.718999999999999</v>
      </c>
      <c r="D2">
        <v>1</v>
      </c>
      <c r="E2">
        <f t="shared" ref="E2:E52" si="0">2*(D2-$H$60)</f>
        <v>-47</v>
      </c>
      <c r="F2" s="4"/>
      <c r="G2" s="4"/>
      <c r="H2" s="7"/>
      <c r="I2" s="6">
        <f>$P$8*$O$25</f>
        <v>1.0618421067149548</v>
      </c>
      <c r="K2" s="3">
        <f>C2/I2</f>
        <v>12.919999982335211</v>
      </c>
      <c r="O2" t="s">
        <v>39</v>
      </c>
    </row>
    <row r="3" spans="1:25" x14ac:dyDescent="0.25">
      <c r="A3">
        <v>2000</v>
      </c>
      <c r="B3" t="s">
        <v>2</v>
      </c>
      <c r="C3">
        <v>11.818</v>
      </c>
      <c r="D3">
        <v>2</v>
      </c>
      <c r="E3">
        <f t="shared" si="0"/>
        <v>-45</v>
      </c>
      <c r="F3" s="5"/>
      <c r="G3" s="5"/>
      <c r="H3" s="8"/>
      <c r="I3" s="6">
        <f>$P$9*$O$25</f>
        <v>0.98804117818880599</v>
      </c>
      <c r="K3" s="3">
        <f t="shared" ref="K3:K49" si="1">C3/I3</f>
        <v>11.961039945383414</v>
      </c>
      <c r="O3" t="s">
        <v>40</v>
      </c>
    </row>
    <row r="4" spans="1:25" x14ac:dyDescent="0.25">
      <c r="A4">
        <v>2000</v>
      </c>
      <c r="B4" t="s">
        <v>3</v>
      </c>
      <c r="C4">
        <v>13.843</v>
      </c>
      <c r="D4">
        <v>3</v>
      </c>
      <c r="E4">
        <f t="shared" si="0"/>
        <v>-43</v>
      </c>
      <c r="F4" s="5"/>
      <c r="G4" s="5"/>
      <c r="H4" s="8"/>
      <c r="I4" s="6">
        <f>$P$10*$O$25</f>
        <v>1.1065249044934158</v>
      </c>
      <c r="K4" s="3">
        <f t="shared" si="1"/>
        <v>12.510337493341408</v>
      </c>
    </row>
    <row r="5" spans="1:25" ht="15.75" thickBot="1" x14ac:dyDescent="0.3">
      <c r="A5">
        <v>2000</v>
      </c>
      <c r="B5" t="s">
        <v>4</v>
      </c>
      <c r="C5">
        <v>14.052</v>
      </c>
      <c r="D5">
        <v>4</v>
      </c>
      <c r="E5">
        <f t="shared" si="0"/>
        <v>-41</v>
      </c>
      <c r="F5" s="5"/>
      <c r="G5" s="5"/>
      <c r="H5" s="8"/>
      <c r="I5" s="6">
        <f>$P$11*$O$25</f>
        <v>1.0692611928676632</v>
      </c>
      <c r="K5" s="3">
        <f t="shared" si="1"/>
        <v>13.141784340188938</v>
      </c>
    </row>
    <row r="6" spans="1:25" ht="15.75" thickBot="1" x14ac:dyDescent="0.3">
      <c r="A6">
        <v>2000</v>
      </c>
      <c r="B6" t="s">
        <v>5</v>
      </c>
      <c r="C6">
        <v>12.516999999999999</v>
      </c>
      <c r="D6">
        <v>5</v>
      </c>
      <c r="E6">
        <f t="shared" si="0"/>
        <v>-39</v>
      </c>
      <c r="F6" s="5"/>
      <c r="G6" s="5"/>
      <c r="H6" s="8"/>
      <c r="I6" s="6">
        <f>$P$12*$O$25</f>
        <v>0.95160779700101827</v>
      </c>
      <c r="K6" s="3">
        <f t="shared" si="1"/>
        <v>13.153528207153398</v>
      </c>
      <c r="U6" s="18" t="s">
        <v>46</v>
      </c>
      <c r="V6" s="19"/>
      <c r="W6" s="9"/>
      <c r="X6" s="9"/>
      <c r="Y6" s="10"/>
    </row>
    <row r="7" spans="1:25" x14ac:dyDescent="0.25">
      <c r="A7">
        <v>2000</v>
      </c>
      <c r="B7" t="s">
        <v>6</v>
      </c>
      <c r="C7">
        <v>13.026999999999999</v>
      </c>
      <c r="D7">
        <v>6</v>
      </c>
      <c r="E7">
        <f t="shared" si="0"/>
        <v>-37</v>
      </c>
      <c r="F7" s="3">
        <f>(C2+C3+C4+C5+C6+C7+C8+C9+C10+C11+C12+C13)/12</f>
        <v>12.588333333333331</v>
      </c>
      <c r="G7" s="5"/>
      <c r="H7" s="8"/>
      <c r="I7" s="6">
        <f>$P$13*$O$25</f>
        <v>0.97416118260990037</v>
      </c>
      <c r="K7" s="3">
        <f t="shared" si="1"/>
        <v>13.372530370281257</v>
      </c>
      <c r="O7" s="18" t="s">
        <v>45</v>
      </c>
      <c r="P7" s="9"/>
      <c r="Q7" s="10"/>
      <c r="U7" s="11"/>
      <c r="V7" s="14"/>
      <c r="W7" s="14"/>
      <c r="X7" s="14"/>
      <c r="Y7" s="13"/>
    </row>
    <row r="8" spans="1:25" x14ac:dyDescent="0.25">
      <c r="A8">
        <v>2000</v>
      </c>
      <c r="B8" t="s">
        <v>7</v>
      </c>
      <c r="C8">
        <v>12.502000000000001</v>
      </c>
      <c r="D8">
        <v>7</v>
      </c>
      <c r="E8">
        <f t="shared" si="0"/>
        <v>-35</v>
      </c>
      <c r="F8" s="3">
        <f t="shared" ref="F8:F43" si="2">(C3+C4+C5+C6+C7+C8+C9+C10+C11+C12+C13+C14)/12</f>
        <v>12.5625</v>
      </c>
      <c r="G8" s="3">
        <f>(F8+F7)/2</f>
        <v>12.575416666666666</v>
      </c>
      <c r="H8" s="2">
        <f>C8/G8</f>
        <v>0.99416188993075127</v>
      </c>
      <c r="I8" s="6">
        <f>$P$14*$O$25</f>
        <v>1.0152265470733872</v>
      </c>
      <c r="K8" s="3">
        <f t="shared" si="1"/>
        <v>12.314492795760467</v>
      </c>
      <c r="L8">
        <f>K8/H8</f>
        <v>12.386808346292813</v>
      </c>
      <c r="O8" s="11" t="s">
        <v>24</v>
      </c>
      <c r="P8" s="12">
        <f>MEDIAN(H14,H26,H38)</f>
        <v>1.039810236112237</v>
      </c>
      <c r="Q8" s="13"/>
      <c r="U8" s="11"/>
      <c r="V8" s="14"/>
      <c r="W8" s="14"/>
      <c r="X8" s="14"/>
      <c r="Y8" s="13"/>
    </row>
    <row r="9" spans="1:25" x14ac:dyDescent="0.25">
      <c r="A9">
        <v>2000</v>
      </c>
      <c r="B9" t="s">
        <v>8</v>
      </c>
      <c r="C9">
        <v>13.221</v>
      </c>
      <c r="D9">
        <v>8</v>
      </c>
      <c r="E9">
        <f t="shared" si="0"/>
        <v>-33</v>
      </c>
      <c r="F9" s="3">
        <f t="shared" si="2"/>
        <v>12.737250000000001</v>
      </c>
      <c r="G9" s="3">
        <f t="shared" ref="G9:G43" si="3">(F9+F8)/2</f>
        <v>12.649875000000002</v>
      </c>
      <c r="H9" s="2">
        <f t="shared" ref="H9:H43" si="4">C9/G9</f>
        <v>1.0451486674769512</v>
      </c>
      <c r="I9" s="6">
        <f>$P$15*$O$25</f>
        <v>0.98612970255909205</v>
      </c>
      <c r="K9" s="3">
        <f t="shared" si="1"/>
        <v>13.406958502203471</v>
      </c>
      <c r="L9">
        <f>K9/H9</f>
        <v>12.827800407159909</v>
      </c>
      <c r="O9" s="11" t="s">
        <v>25</v>
      </c>
      <c r="P9" s="12">
        <f>MEDIAN(H15,H27,H39)</f>
        <v>0.96754058280805022</v>
      </c>
      <c r="Q9" s="13"/>
      <c r="U9" s="11" t="s">
        <v>44</v>
      </c>
      <c r="V9" s="14"/>
      <c r="W9" s="14"/>
      <c r="X9" s="14"/>
      <c r="Y9" s="13"/>
    </row>
    <row r="10" spans="1:25" x14ac:dyDescent="0.25">
      <c r="A10">
        <v>2000</v>
      </c>
      <c r="B10" t="s">
        <v>9</v>
      </c>
      <c r="C10">
        <v>9.9740000000000002</v>
      </c>
      <c r="D10">
        <v>9</v>
      </c>
      <c r="E10">
        <f t="shared" si="0"/>
        <v>-31</v>
      </c>
      <c r="F10" s="3">
        <f t="shared" si="2"/>
        <v>12.901166666666668</v>
      </c>
      <c r="G10" s="3">
        <f t="shared" si="3"/>
        <v>12.819208333333336</v>
      </c>
      <c r="H10" s="2">
        <f t="shared" si="4"/>
        <v>0.77805116670621222</v>
      </c>
      <c r="I10" s="6">
        <f>$P$16*$O$25</f>
        <v>0.94550278097809726</v>
      </c>
      <c r="K10" s="3">
        <f t="shared" si="1"/>
        <v>10.548884890303723</v>
      </c>
      <c r="L10">
        <f>K10/H10</f>
        <v>13.558086333783397</v>
      </c>
      <c r="O10" s="11" t="s">
        <v>26</v>
      </c>
      <c r="P10" s="12">
        <f>MEDIAN(H16,H28,H40)</f>
        <v>1.0835659227763459</v>
      </c>
      <c r="Q10" s="13"/>
      <c r="U10" s="11" t="s">
        <v>41</v>
      </c>
      <c r="V10" s="14"/>
      <c r="W10" s="14"/>
      <c r="X10" s="14"/>
      <c r="Y10" s="13"/>
    </row>
    <row r="11" spans="1:25" x14ac:dyDescent="0.25">
      <c r="A11">
        <v>2000</v>
      </c>
      <c r="B11" t="s">
        <v>10</v>
      </c>
      <c r="C11">
        <v>10.564</v>
      </c>
      <c r="D11">
        <v>10</v>
      </c>
      <c r="E11">
        <f t="shared" si="0"/>
        <v>-29</v>
      </c>
      <c r="F11" s="3">
        <f t="shared" si="2"/>
        <v>13.432583333333335</v>
      </c>
      <c r="G11" s="3">
        <f t="shared" si="3"/>
        <v>13.166875000000001</v>
      </c>
      <c r="H11" s="2">
        <f t="shared" si="4"/>
        <v>0.80231641904400242</v>
      </c>
      <c r="I11" s="6">
        <f>$P$17*$O$25</f>
        <v>0.87697479382143151</v>
      </c>
      <c r="K11" s="3">
        <f t="shared" si="1"/>
        <v>12.045956251453024</v>
      </c>
      <c r="L11">
        <f>K11/H11</f>
        <v>15.013972000979795</v>
      </c>
      <c r="O11" s="11" t="s">
        <v>27</v>
      </c>
      <c r="P11" s="12">
        <f>MEDIAN(H17,H29,H41)</f>
        <v>1.0470753856814616</v>
      </c>
      <c r="Q11" s="13"/>
      <c r="U11" s="11" t="s">
        <v>42</v>
      </c>
      <c r="V11" s="14"/>
      <c r="W11" s="14"/>
      <c r="X11" s="14" t="s">
        <v>47</v>
      </c>
      <c r="Y11" s="13"/>
    </row>
    <row r="12" spans="1:25" x14ac:dyDescent="0.25">
      <c r="A12">
        <v>2000</v>
      </c>
      <c r="B12" t="s">
        <v>11</v>
      </c>
      <c r="C12">
        <v>10.444000000000001</v>
      </c>
      <c r="D12">
        <v>11</v>
      </c>
      <c r="E12">
        <f t="shared" si="0"/>
        <v>-27</v>
      </c>
      <c r="F12" s="3">
        <f t="shared" si="2"/>
        <v>13.91075</v>
      </c>
      <c r="G12" s="3">
        <f t="shared" si="3"/>
        <v>13.671666666666667</v>
      </c>
      <c r="H12" s="2">
        <f t="shared" si="4"/>
        <v>0.76391564061928563</v>
      </c>
      <c r="I12" s="6">
        <f>$P$18*$O$25</f>
        <v>0.87519228600049281</v>
      </c>
      <c r="K12" s="3">
        <f t="shared" si="1"/>
        <v>11.933377575489873</v>
      </c>
      <c r="L12">
        <f>K12/H12</f>
        <v>15.621329032896627</v>
      </c>
      <c r="O12" s="11" t="s">
        <v>28</v>
      </c>
      <c r="P12" s="12">
        <f>MEDIAN(H18,H30,H42)</f>
        <v>0.93186314785263802</v>
      </c>
      <c r="Q12" s="13"/>
      <c r="U12" s="11"/>
      <c r="V12" s="14"/>
      <c r="W12" s="14"/>
      <c r="X12" s="14"/>
      <c r="Y12" s="13"/>
    </row>
    <row r="13" spans="1:25" x14ac:dyDescent="0.25">
      <c r="A13">
        <v>2000</v>
      </c>
      <c r="B13" t="s">
        <v>12</v>
      </c>
      <c r="C13">
        <v>15.379</v>
      </c>
      <c r="D13">
        <v>12</v>
      </c>
      <c r="E13">
        <f t="shared" si="0"/>
        <v>-25</v>
      </c>
      <c r="F13" s="3">
        <f t="shared" si="2"/>
        <v>14.238833333333334</v>
      </c>
      <c r="G13" s="3">
        <f t="shared" si="3"/>
        <v>14.074791666666666</v>
      </c>
      <c r="H13" s="2">
        <f t="shared" si="4"/>
        <v>1.0926627096315813</v>
      </c>
      <c r="I13" s="6">
        <f>$P$19*$O$25</f>
        <v>1.1495355276917401</v>
      </c>
      <c r="K13" s="3">
        <f t="shared" si="1"/>
        <v>13.37844688530935</v>
      </c>
      <c r="L13">
        <f>K13/H13</f>
        <v>12.243894449203111</v>
      </c>
      <c r="O13" s="11" t="s">
        <v>29</v>
      </c>
      <c r="P13" s="12">
        <f>MEDIAN(H19,H31,H43)</f>
        <v>0.95394857945004718</v>
      </c>
      <c r="Q13" s="13"/>
      <c r="U13" s="11" t="s">
        <v>43</v>
      </c>
      <c r="V13" s="14"/>
      <c r="W13" s="14"/>
      <c r="X13" s="14"/>
      <c r="Y13" s="13"/>
    </row>
    <row r="14" spans="1:25" ht="15.75" thickBot="1" x14ac:dyDescent="0.3">
      <c r="A14">
        <v>2001</v>
      </c>
      <c r="B14" t="s">
        <v>1</v>
      </c>
      <c r="C14">
        <v>13.409000000000001</v>
      </c>
      <c r="D14">
        <v>13</v>
      </c>
      <c r="E14">
        <f t="shared" si="0"/>
        <v>-23</v>
      </c>
      <c r="F14" s="3">
        <f t="shared" si="2"/>
        <v>14.563499999999999</v>
      </c>
      <c r="G14" s="3">
        <f t="shared" si="3"/>
        <v>14.401166666666667</v>
      </c>
      <c r="H14" s="2">
        <f t="shared" si="4"/>
        <v>0.93110511879824553</v>
      </c>
      <c r="I14" s="6">
        <f>$P$8*$O$25</f>
        <v>1.0618421067149548</v>
      </c>
      <c r="K14" s="3">
        <f t="shared" si="1"/>
        <v>12.628054505658785</v>
      </c>
      <c r="L14">
        <f>K14/H14</f>
        <v>13.562436990957051</v>
      </c>
      <c r="O14" s="11" t="s">
        <v>30</v>
      </c>
      <c r="P14" s="12">
        <f>MEDIAN(H8,H20,H32)</f>
        <v>0.99416188993075127</v>
      </c>
      <c r="Q14" s="13"/>
      <c r="U14" s="15">
        <f>49135*I40</f>
        <v>54369.101182283986</v>
      </c>
      <c r="V14" s="16"/>
      <c r="W14" s="16"/>
      <c r="X14" s="16"/>
      <c r="Y14" s="17"/>
    </row>
    <row r="15" spans="1:25" x14ac:dyDescent="0.25">
      <c r="A15">
        <v>2001</v>
      </c>
      <c r="B15" t="s">
        <v>2</v>
      </c>
      <c r="C15">
        <v>13.914999999999999</v>
      </c>
      <c r="D15">
        <v>14</v>
      </c>
      <c r="E15">
        <f t="shared" si="0"/>
        <v>-21</v>
      </c>
      <c r="F15" s="3">
        <f t="shared" si="2"/>
        <v>14.627833333333333</v>
      </c>
      <c r="G15" s="3">
        <f t="shared" si="3"/>
        <v>14.595666666666666</v>
      </c>
      <c r="H15" s="2">
        <f t="shared" si="4"/>
        <v>0.95336515404115374</v>
      </c>
      <c r="I15" s="6">
        <f>$P$9*$O$25</f>
        <v>0.98804117818880599</v>
      </c>
      <c r="K15" s="3">
        <f t="shared" si="1"/>
        <v>14.083421123710458</v>
      </c>
      <c r="L15">
        <f>K15/H15</f>
        <v>14.772326284439091</v>
      </c>
      <c r="O15" s="11" t="s">
        <v>31</v>
      </c>
      <c r="P15" s="12">
        <f>MEDIAN(H9,H21,H33)</f>
        <v>0.96566876786184819</v>
      </c>
      <c r="Q15" s="13"/>
    </row>
    <row r="16" spans="1:25" x14ac:dyDescent="0.25">
      <c r="A16">
        <v>2001</v>
      </c>
      <c r="B16" t="s">
        <v>3</v>
      </c>
      <c r="C16">
        <v>15.81</v>
      </c>
      <c r="D16">
        <v>15</v>
      </c>
      <c r="E16">
        <f t="shared" si="0"/>
        <v>-19</v>
      </c>
      <c r="F16" s="3">
        <f t="shared" si="2"/>
        <v>15.537666666666665</v>
      </c>
      <c r="G16" s="3">
        <f t="shared" si="3"/>
        <v>15.082749999999999</v>
      </c>
      <c r="H16" s="2">
        <f t="shared" si="4"/>
        <v>1.0482173343720476</v>
      </c>
      <c r="I16" s="6">
        <f>$P$10*$O$25</f>
        <v>1.1065249044934158</v>
      </c>
      <c r="K16" s="3">
        <f t="shared" si="1"/>
        <v>14.287974844305978</v>
      </c>
      <c r="L16">
        <f>K16/H16</f>
        <v>13.630737038770144</v>
      </c>
      <c r="O16" s="11" t="s">
        <v>32</v>
      </c>
      <c r="P16" s="12">
        <f>MEDIAN(H10,H22,H34)</f>
        <v>0.92588480313253485</v>
      </c>
      <c r="Q16" s="13"/>
    </row>
    <row r="17" spans="1:17" x14ac:dyDescent="0.25">
      <c r="A17">
        <v>2001</v>
      </c>
      <c r="B17" t="s">
        <v>4</v>
      </c>
      <c r="C17">
        <v>20.428999999999998</v>
      </c>
      <c r="D17">
        <v>16</v>
      </c>
      <c r="E17">
        <f t="shared" si="0"/>
        <v>-17</v>
      </c>
      <c r="F17" s="3">
        <f t="shared" si="2"/>
        <v>16.708833333333331</v>
      </c>
      <c r="G17" s="3">
        <f t="shared" si="3"/>
        <v>16.123249999999999</v>
      </c>
      <c r="H17" s="2">
        <f t="shared" si="4"/>
        <v>1.2670522382274045</v>
      </c>
      <c r="I17" s="6">
        <f>$P$11*$O$25</f>
        <v>1.0692611928676632</v>
      </c>
      <c r="K17" s="3">
        <f t="shared" si="1"/>
        <v>19.105715363344704</v>
      </c>
      <c r="L17">
        <f>K17/H17</f>
        <v>15.078869510600004</v>
      </c>
      <c r="O17" s="11" t="s">
        <v>33</v>
      </c>
      <c r="P17" s="12">
        <f>MEDIAN(H11,H23,H35)</f>
        <v>0.85877868438375449</v>
      </c>
      <c r="Q17" s="13"/>
    </row>
    <row r="18" spans="1:17" x14ac:dyDescent="0.25">
      <c r="A18">
        <v>2001</v>
      </c>
      <c r="B18" t="s">
        <v>5</v>
      </c>
      <c r="C18">
        <v>18.254999999999999</v>
      </c>
      <c r="D18">
        <v>17</v>
      </c>
      <c r="E18">
        <f t="shared" si="0"/>
        <v>-15</v>
      </c>
      <c r="F18" s="3">
        <f t="shared" si="2"/>
        <v>17.728249999999999</v>
      </c>
      <c r="G18" s="3">
        <f t="shared" si="3"/>
        <v>17.218541666666667</v>
      </c>
      <c r="H18" s="2">
        <f t="shared" si="4"/>
        <v>1.0601943157206983</v>
      </c>
      <c r="I18" s="6">
        <f>$P$12*$O$25</f>
        <v>0.95160779700101827</v>
      </c>
      <c r="K18" s="3">
        <f t="shared" si="1"/>
        <v>19.183323274074084</v>
      </c>
      <c r="L18">
        <f>K18/H18</f>
        <v>18.094157825241361</v>
      </c>
      <c r="O18" s="11" t="s">
        <v>34</v>
      </c>
      <c r="P18" s="12">
        <f>MEDIAN(H12,H24,H36)</f>
        <v>0.85703316132864005</v>
      </c>
      <c r="Q18" s="13"/>
    </row>
    <row r="19" spans="1:17" x14ac:dyDescent="0.25">
      <c r="A19">
        <v>2001</v>
      </c>
      <c r="B19" t="s">
        <v>6</v>
      </c>
      <c r="C19">
        <v>16.963999999999999</v>
      </c>
      <c r="D19">
        <v>18</v>
      </c>
      <c r="E19">
        <f t="shared" si="0"/>
        <v>-13</v>
      </c>
      <c r="F19" s="3">
        <f t="shared" si="2"/>
        <v>18.793916666666664</v>
      </c>
      <c r="G19" s="3">
        <f t="shared" si="3"/>
        <v>18.261083333333332</v>
      </c>
      <c r="H19" s="2">
        <f t="shared" si="4"/>
        <v>0.92897007753282257</v>
      </c>
      <c r="I19" s="6">
        <f>$P$13*$O$25</f>
        <v>0.97416118260990037</v>
      </c>
      <c r="K19" s="3">
        <f t="shared" si="1"/>
        <v>17.413956029895697</v>
      </c>
      <c r="L19">
        <f>K19/H19</f>
        <v>18.745443422832338</v>
      </c>
      <c r="O19" s="11" t="s">
        <v>35</v>
      </c>
      <c r="P19" s="12">
        <f>MEDIAN(H13,H25,H37)</f>
        <v>1.125684130351994</v>
      </c>
      <c r="Q19" s="13"/>
    </row>
    <row r="20" spans="1:17" x14ac:dyDescent="0.25">
      <c r="A20">
        <v>2001</v>
      </c>
      <c r="B20" t="s">
        <v>7</v>
      </c>
      <c r="C20">
        <v>16.398</v>
      </c>
      <c r="D20">
        <v>19</v>
      </c>
      <c r="E20">
        <f t="shared" si="0"/>
        <v>-11</v>
      </c>
      <c r="F20" s="3">
        <f t="shared" si="2"/>
        <v>20.392249999999997</v>
      </c>
      <c r="G20" s="3">
        <f t="shared" si="3"/>
        <v>19.593083333333333</v>
      </c>
      <c r="H20" s="2">
        <f t="shared" si="4"/>
        <v>0.8369279975501559</v>
      </c>
      <c r="I20" s="6">
        <f>$P$14*$O$25</f>
        <v>1.0152265470733872</v>
      </c>
      <c r="K20" s="3">
        <f t="shared" si="1"/>
        <v>16.152059899606471</v>
      </c>
      <c r="L20">
        <f>K20/H20</f>
        <v>19.299222808756021</v>
      </c>
      <c r="O20" s="11"/>
      <c r="P20" s="14"/>
      <c r="Q20" s="13"/>
    </row>
    <row r="21" spans="1:17" x14ac:dyDescent="0.25">
      <c r="A21">
        <v>2001</v>
      </c>
      <c r="B21" t="s">
        <v>8</v>
      </c>
      <c r="C21">
        <v>13.993</v>
      </c>
      <c r="D21">
        <v>20</v>
      </c>
      <c r="E21">
        <f t="shared" si="0"/>
        <v>-9</v>
      </c>
      <c r="F21" s="3">
        <f t="shared" si="2"/>
        <v>21.418499999999998</v>
      </c>
      <c r="G21" s="3">
        <f t="shared" si="3"/>
        <v>20.905374999999999</v>
      </c>
      <c r="H21" s="2">
        <f t="shared" si="4"/>
        <v>0.66934938981003689</v>
      </c>
      <c r="I21" s="6">
        <f>$P$15*$O$25</f>
        <v>0.98612970255909205</v>
      </c>
      <c r="K21" s="3">
        <f t="shared" si="1"/>
        <v>14.189816982174811</v>
      </c>
      <c r="L21">
        <f>K21/H21</f>
        <v>21.199417222449277</v>
      </c>
      <c r="O21" s="11" t="s">
        <v>36</v>
      </c>
      <c r="P21" s="12">
        <f>SUM(P8:P19)</f>
        <v>11.751015291670303</v>
      </c>
      <c r="Q21" s="13"/>
    </row>
    <row r="22" spans="1:17" x14ac:dyDescent="0.25">
      <c r="A22">
        <v>2001</v>
      </c>
      <c r="B22" t="s">
        <v>9</v>
      </c>
      <c r="C22">
        <v>20.891999999999999</v>
      </c>
      <c r="D22">
        <v>21</v>
      </c>
      <c r="E22">
        <f t="shared" si="0"/>
        <v>-7</v>
      </c>
      <c r="F22" s="3">
        <f t="shared" si="2"/>
        <v>22.635249999999996</v>
      </c>
      <c r="G22" s="3">
        <f t="shared" si="3"/>
        <v>22.026874999999997</v>
      </c>
      <c r="H22" s="2">
        <f t="shared" si="4"/>
        <v>0.94847771188604846</v>
      </c>
      <c r="I22" s="6">
        <f>$P$16*$O$25</f>
        <v>0.94550278097809726</v>
      </c>
      <c r="K22" s="3">
        <f t="shared" si="1"/>
        <v>22.096180381815255</v>
      </c>
      <c r="L22">
        <f>K22/H22</f>
        <v>23.296467702838253</v>
      </c>
      <c r="O22" s="11"/>
      <c r="P22" s="14"/>
      <c r="Q22" s="13"/>
    </row>
    <row r="23" spans="1:17" x14ac:dyDescent="0.25">
      <c r="A23">
        <v>2001</v>
      </c>
      <c r="B23" t="s">
        <v>10</v>
      </c>
      <c r="C23">
        <v>24.617999999999999</v>
      </c>
      <c r="D23">
        <v>22</v>
      </c>
      <c r="E23">
        <f t="shared" si="0"/>
        <v>-5</v>
      </c>
      <c r="F23" s="3">
        <f t="shared" si="2"/>
        <v>23.424999999999997</v>
      </c>
      <c r="G23" s="3">
        <f t="shared" si="3"/>
        <v>23.030124999999998</v>
      </c>
      <c r="H23" s="2">
        <f t="shared" si="4"/>
        <v>1.068947736931519</v>
      </c>
      <c r="I23" s="6">
        <f>$P$17*$O$25</f>
        <v>0.87697479382143151</v>
      </c>
      <c r="K23" s="3">
        <f t="shared" si="1"/>
        <v>28.071502366364118</v>
      </c>
      <c r="L23">
        <f>K23/H23</f>
        <v>26.260874499762835</v>
      </c>
      <c r="O23" s="11" t="s">
        <v>37</v>
      </c>
      <c r="P23" s="14"/>
      <c r="Q23" s="13"/>
    </row>
    <row r="24" spans="1:17" x14ac:dyDescent="0.25">
      <c r="A24">
        <v>2001</v>
      </c>
      <c r="B24" t="s">
        <v>11</v>
      </c>
      <c r="C24">
        <v>22.677</v>
      </c>
      <c r="D24">
        <v>23</v>
      </c>
      <c r="E24">
        <f t="shared" si="0"/>
        <v>-3</v>
      </c>
      <c r="F24" s="3">
        <f t="shared" si="2"/>
        <v>24.152416666666664</v>
      </c>
      <c r="G24" s="3">
        <f t="shared" si="3"/>
        <v>23.788708333333332</v>
      </c>
      <c r="H24" s="2">
        <f t="shared" si="4"/>
        <v>0.95326739401922134</v>
      </c>
      <c r="I24" s="6">
        <f>$P$18*$O$25</f>
        <v>0.87519228600049281</v>
      </c>
      <c r="K24" s="3">
        <f t="shared" si="1"/>
        <v>25.910877372595159</v>
      </c>
      <c r="L24">
        <f>K24/H24</f>
        <v>27.181122038957206</v>
      </c>
      <c r="O24" s="11" t="s">
        <v>38</v>
      </c>
      <c r="P24" s="14"/>
      <c r="Q24" s="13"/>
    </row>
    <row r="25" spans="1:17" ht="15.75" thickBot="1" x14ac:dyDescent="0.3">
      <c r="A25">
        <v>2001</v>
      </c>
      <c r="B25" t="s">
        <v>12</v>
      </c>
      <c r="C25">
        <v>28.167000000000002</v>
      </c>
      <c r="D25">
        <v>24</v>
      </c>
      <c r="E25">
        <f t="shared" si="0"/>
        <v>-1</v>
      </c>
      <c r="F25" s="3">
        <f t="shared" si="2"/>
        <v>25.096</v>
      </c>
      <c r="G25" s="3">
        <f t="shared" si="3"/>
        <v>24.624208333333332</v>
      </c>
      <c r="H25" s="2">
        <f t="shared" si="4"/>
        <v>1.1438743377536673</v>
      </c>
      <c r="I25" s="6">
        <f>$P$19*$O$25</f>
        <v>1.1495355276917401</v>
      </c>
      <c r="K25" s="3">
        <f t="shared" si="1"/>
        <v>24.502939945283082</v>
      </c>
      <c r="L25">
        <f>K25/H25</f>
        <v>21.421006780693926</v>
      </c>
      <c r="O25" s="15">
        <f>12/P21</f>
        <v>1.0211883571035933</v>
      </c>
      <c r="P25" s="16"/>
      <c r="Q25" s="17"/>
    </row>
    <row r="26" spans="1:17" x14ac:dyDescent="0.25">
      <c r="A26">
        <v>2002</v>
      </c>
      <c r="B26" t="s">
        <v>1</v>
      </c>
      <c r="C26">
        <v>32.588999999999999</v>
      </c>
      <c r="D26">
        <v>25</v>
      </c>
      <c r="E26">
        <f t="shared" si="0"/>
        <v>1</v>
      </c>
      <c r="F26" s="3">
        <f t="shared" si="2"/>
        <v>26.397499999999997</v>
      </c>
      <c r="G26" s="3">
        <f t="shared" si="3"/>
        <v>25.746749999999999</v>
      </c>
      <c r="H26" s="2">
        <f t="shared" si="4"/>
        <v>1.2657519881150048</v>
      </c>
      <c r="I26" s="6">
        <f>$P$8*$O$25</f>
        <v>1.0618421067149548</v>
      </c>
      <c r="K26" s="3">
        <f t="shared" si="1"/>
        <v>30.691003675510036</v>
      </c>
      <c r="L26">
        <f>K26/H26</f>
        <v>24.247249037480071</v>
      </c>
    </row>
    <row r="27" spans="1:17" x14ac:dyDescent="0.25">
      <c r="A27">
        <v>2002</v>
      </c>
      <c r="B27" t="s">
        <v>2</v>
      </c>
      <c r="C27">
        <v>26.23</v>
      </c>
      <c r="D27">
        <v>26</v>
      </c>
      <c r="E27">
        <f t="shared" si="0"/>
        <v>3</v>
      </c>
      <c r="F27" s="3">
        <f t="shared" si="2"/>
        <v>27.712833333333332</v>
      </c>
      <c r="G27" s="3">
        <f t="shared" si="3"/>
        <v>27.055166666666665</v>
      </c>
      <c r="H27" s="2">
        <f t="shared" si="4"/>
        <v>0.9695005883041441</v>
      </c>
      <c r="I27" s="6">
        <f>$P$9*$O$25</f>
        <v>0.98804117818880599</v>
      </c>
      <c r="K27" s="3">
        <f t="shared" si="1"/>
        <v>26.547476541496611</v>
      </c>
      <c r="L27">
        <f>K27/H27</f>
        <v>27.38263066754153</v>
      </c>
    </row>
    <row r="28" spans="1:17" x14ac:dyDescent="0.25">
      <c r="A28">
        <v>2002</v>
      </c>
      <c r="B28" t="s">
        <v>3</v>
      </c>
      <c r="C28">
        <v>30.411000000000001</v>
      </c>
      <c r="D28">
        <v>27</v>
      </c>
      <c r="E28">
        <f t="shared" si="0"/>
        <v>5</v>
      </c>
      <c r="F28" s="3">
        <f t="shared" si="2"/>
        <v>28.418500000000005</v>
      </c>
      <c r="G28" s="3">
        <f t="shared" si="3"/>
        <v>28.065666666666669</v>
      </c>
      <c r="H28" s="2">
        <f t="shared" si="4"/>
        <v>1.0835659227763459</v>
      </c>
      <c r="I28" s="6">
        <f>$P$10*$O$25</f>
        <v>1.1065249044934158</v>
      </c>
      <c r="K28" s="3">
        <f t="shared" si="1"/>
        <v>27.483339847576794</v>
      </c>
      <c r="L28">
        <f>K28/H28</f>
        <v>25.36379122846364</v>
      </c>
    </row>
    <row r="29" spans="1:17" x14ac:dyDescent="0.25">
      <c r="A29">
        <v>2002</v>
      </c>
      <c r="B29" t="s">
        <v>4</v>
      </c>
      <c r="C29">
        <v>29.905999999999999</v>
      </c>
      <c r="D29">
        <v>28</v>
      </c>
      <c r="E29">
        <f t="shared" si="0"/>
        <v>7</v>
      </c>
      <c r="F29" s="3">
        <f t="shared" si="2"/>
        <v>28.70441666666667</v>
      </c>
      <c r="G29" s="3">
        <f t="shared" si="3"/>
        <v>28.561458333333338</v>
      </c>
      <c r="H29" s="2">
        <f t="shared" si="4"/>
        <v>1.0470753856814616</v>
      </c>
      <c r="I29" s="6">
        <f>$P$11*$O$25</f>
        <v>1.0692611928676632</v>
      </c>
      <c r="K29" s="3">
        <f t="shared" si="1"/>
        <v>27.968844468950355</v>
      </c>
      <c r="L29">
        <f>K29/H29</f>
        <v>26.711395236120048</v>
      </c>
    </row>
    <row r="30" spans="1:17" x14ac:dyDescent="0.25">
      <c r="A30">
        <v>2002</v>
      </c>
      <c r="B30" t="s">
        <v>5</v>
      </c>
      <c r="C30">
        <v>26.984000000000002</v>
      </c>
      <c r="D30">
        <v>29</v>
      </c>
      <c r="E30">
        <f t="shared" si="0"/>
        <v>9</v>
      </c>
      <c r="F30" s="3">
        <f t="shared" si="2"/>
        <v>29.209666666666667</v>
      </c>
      <c r="G30" s="3">
        <f t="shared" si="3"/>
        <v>28.957041666666669</v>
      </c>
      <c r="H30" s="2">
        <f t="shared" si="4"/>
        <v>0.93186314785263802</v>
      </c>
      <c r="I30" s="6">
        <f>$P$12*$O$25</f>
        <v>0.95160779700101827</v>
      </c>
      <c r="K30" s="3">
        <f t="shared" si="1"/>
        <v>28.35621995221118</v>
      </c>
      <c r="L30">
        <f>K30/H30</f>
        <v>30.429596896877552</v>
      </c>
    </row>
    <row r="31" spans="1:17" x14ac:dyDescent="0.25">
      <c r="A31">
        <v>2002</v>
      </c>
      <c r="B31" t="s">
        <v>6</v>
      </c>
      <c r="C31">
        <v>28.286999999999999</v>
      </c>
      <c r="D31">
        <v>30</v>
      </c>
      <c r="E31">
        <f t="shared" si="0"/>
        <v>11</v>
      </c>
      <c r="F31" s="3">
        <f t="shared" si="2"/>
        <v>30.095416666666665</v>
      </c>
      <c r="G31" s="3">
        <f t="shared" si="3"/>
        <v>29.652541666666664</v>
      </c>
      <c r="H31" s="2">
        <f t="shared" si="4"/>
        <v>0.95394857945004718</v>
      </c>
      <c r="I31" s="6">
        <f>$P$13*$O$25</f>
        <v>0.97416118260990037</v>
      </c>
      <c r="K31" s="3">
        <f t="shared" si="1"/>
        <v>29.037289213490901</v>
      </c>
      <c r="L31">
        <f>K31/H31</f>
        <v>30.439050740272545</v>
      </c>
    </row>
    <row r="32" spans="1:17" x14ac:dyDescent="0.25">
      <c r="A32">
        <v>2002</v>
      </c>
      <c r="B32" t="s">
        <v>7</v>
      </c>
      <c r="C32">
        <v>32.015999999999998</v>
      </c>
      <c r="D32">
        <v>31</v>
      </c>
      <c r="E32">
        <f t="shared" si="0"/>
        <v>13</v>
      </c>
      <c r="F32" s="3">
        <f t="shared" si="2"/>
        <v>30.452749999999998</v>
      </c>
      <c r="G32" s="3">
        <f t="shared" si="3"/>
        <v>30.27408333333333</v>
      </c>
      <c r="H32" s="2">
        <f t="shared" si="4"/>
        <v>1.0575382133783298</v>
      </c>
      <c r="I32" s="6">
        <f>$P$14*$O$25</f>
        <v>1.0152265470733872</v>
      </c>
      <c r="K32" s="3">
        <f t="shared" si="1"/>
        <v>31.535818376985045</v>
      </c>
      <c r="L32">
        <f>K32/H32</f>
        <v>29.820027284161352</v>
      </c>
    </row>
    <row r="33" spans="1:12" x14ac:dyDescent="0.25">
      <c r="A33">
        <v>2002</v>
      </c>
      <c r="B33" t="s">
        <v>8</v>
      </c>
      <c r="C33">
        <v>29.777000000000001</v>
      </c>
      <c r="D33">
        <v>32</v>
      </c>
      <c r="E33">
        <f t="shared" si="0"/>
        <v>15</v>
      </c>
      <c r="F33" s="3">
        <f t="shared" si="2"/>
        <v>31.218499999999995</v>
      </c>
      <c r="G33" s="3">
        <f t="shared" si="3"/>
        <v>30.835624999999997</v>
      </c>
      <c r="H33" s="2">
        <f t="shared" si="4"/>
        <v>0.96566876786184819</v>
      </c>
      <c r="I33" s="6">
        <f>$P$15*$O$25</f>
        <v>0.98612970255909205</v>
      </c>
      <c r="K33" s="3">
        <f t="shared" si="1"/>
        <v>30.195825075267589</v>
      </c>
      <c r="L33">
        <f>K33/H33</f>
        <v>31.269340047236057</v>
      </c>
    </row>
    <row r="34" spans="1:12" x14ac:dyDescent="0.25">
      <c r="A34">
        <v>2002</v>
      </c>
      <c r="B34" t="s">
        <v>9</v>
      </c>
      <c r="C34">
        <v>29.36</v>
      </c>
      <c r="D34">
        <v>33</v>
      </c>
      <c r="E34">
        <f t="shared" si="0"/>
        <v>17</v>
      </c>
      <c r="F34" s="3">
        <f t="shared" si="2"/>
        <v>32.201916666666669</v>
      </c>
      <c r="G34" s="3">
        <f t="shared" si="3"/>
        <v>31.710208333333334</v>
      </c>
      <c r="H34" s="2">
        <f t="shared" si="4"/>
        <v>0.92588480313253485</v>
      </c>
      <c r="I34" s="6">
        <f>$P$16*$O$25</f>
        <v>0.94550278097809726</v>
      </c>
      <c r="K34" s="3">
        <f t="shared" si="1"/>
        <v>31.052261918920923</v>
      </c>
      <c r="L34">
        <f>K34/H34</f>
        <v>33.537932379775732</v>
      </c>
    </row>
    <row r="35" spans="1:12" x14ac:dyDescent="0.25">
      <c r="A35">
        <v>2002</v>
      </c>
      <c r="B35" t="s">
        <v>10</v>
      </c>
      <c r="C35">
        <v>28.048999999999999</v>
      </c>
      <c r="D35">
        <v>34</v>
      </c>
      <c r="E35">
        <f t="shared" si="0"/>
        <v>19</v>
      </c>
      <c r="F35" s="3">
        <f t="shared" si="2"/>
        <v>33.121083333333331</v>
      </c>
      <c r="G35" s="3">
        <f t="shared" si="3"/>
        <v>32.661500000000004</v>
      </c>
      <c r="H35" s="2">
        <f t="shared" si="4"/>
        <v>0.85877868438375449</v>
      </c>
      <c r="I35" s="6">
        <f>$P$17*$O$25</f>
        <v>0.87697479382143151</v>
      </c>
      <c r="K35" s="3">
        <f t="shared" si="1"/>
        <v>31.983815495740807</v>
      </c>
      <c r="L35">
        <f>K35/H35</f>
        <v>37.243373732187905</v>
      </c>
    </row>
    <row r="36" spans="1:12" x14ac:dyDescent="0.25">
      <c r="A36">
        <v>2002</v>
      </c>
      <c r="B36" t="s">
        <v>11</v>
      </c>
      <c r="C36">
        <v>28.74</v>
      </c>
      <c r="D36">
        <v>35</v>
      </c>
      <c r="E36">
        <f t="shared" si="0"/>
        <v>21</v>
      </c>
      <c r="F36" s="3">
        <f t="shared" si="2"/>
        <v>33.947499999999998</v>
      </c>
      <c r="G36" s="3">
        <f t="shared" si="3"/>
        <v>33.534291666666661</v>
      </c>
      <c r="H36" s="2">
        <f t="shared" si="4"/>
        <v>0.85703316132864005</v>
      </c>
      <c r="I36" s="6">
        <f>$P$18*$O$25</f>
        <v>0.87519228600049281</v>
      </c>
      <c r="K36" s="3">
        <f t="shared" si="1"/>
        <v>32.838497847527663</v>
      </c>
      <c r="L36">
        <f>K36/H36</f>
        <v>38.316484506409118</v>
      </c>
    </row>
    <row r="37" spans="1:12" x14ac:dyDescent="0.25">
      <c r="A37">
        <v>2002</v>
      </c>
      <c r="B37" t="s">
        <v>12</v>
      </c>
      <c r="C37">
        <v>38.795999999999999</v>
      </c>
      <c r="D37">
        <v>36</v>
      </c>
      <c r="E37">
        <f t="shared" si="0"/>
        <v>23</v>
      </c>
      <c r="F37" s="3">
        <f t="shared" si="2"/>
        <v>34.981249999999996</v>
      </c>
      <c r="G37" s="3">
        <f t="shared" si="3"/>
        <v>34.464374999999997</v>
      </c>
      <c r="H37" s="2">
        <f t="shared" si="4"/>
        <v>1.125684130351994</v>
      </c>
      <c r="I37" s="6">
        <f>$P$19*$O$25</f>
        <v>1.1495355276917401</v>
      </c>
      <c r="K37" s="3">
        <f t="shared" si="1"/>
        <v>33.749283136904971</v>
      </c>
      <c r="L37">
        <f>K37/H37</f>
        <v>29.981130786974667</v>
      </c>
    </row>
    <row r="38" spans="1:12" x14ac:dyDescent="0.25">
      <c r="A38">
        <v>2003</v>
      </c>
      <c r="B38" t="s">
        <v>1</v>
      </c>
      <c r="C38">
        <v>36.877000000000002</v>
      </c>
      <c r="D38">
        <v>37</v>
      </c>
      <c r="E38">
        <f t="shared" si="0"/>
        <v>25</v>
      </c>
      <c r="F38" s="3">
        <f t="shared" si="2"/>
        <v>35.949000000000005</v>
      </c>
      <c r="G38" s="3">
        <f t="shared" si="3"/>
        <v>35.465125</v>
      </c>
      <c r="H38" s="2">
        <f t="shared" si="4"/>
        <v>1.039810236112237</v>
      </c>
      <c r="I38" s="6">
        <f>$P$8*$O$25</f>
        <v>1.0618421067149548</v>
      </c>
      <c r="K38" s="3">
        <f t="shared" si="1"/>
        <v>34.729268849666568</v>
      </c>
      <c r="L38">
        <f>K38/H38</f>
        <v>33.399622011335822</v>
      </c>
    </row>
    <row r="39" spans="1:12" x14ac:dyDescent="0.25">
      <c r="A39">
        <v>2003</v>
      </c>
      <c r="B39" t="s">
        <v>2</v>
      </c>
      <c r="C39">
        <v>35.418999999999997</v>
      </c>
      <c r="D39">
        <v>38</v>
      </c>
      <c r="E39">
        <f t="shared" si="0"/>
        <v>27</v>
      </c>
      <c r="F39" s="3">
        <f t="shared" si="2"/>
        <v>37.265499999999996</v>
      </c>
      <c r="G39" s="3">
        <f t="shared" si="3"/>
        <v>36.607250000000001</v>
      </c>
      <c r="H39" s="2">
        <f t="shared" si="4"/>
        <v>0.96754058280805022</v>
      </c>
      <c r="I39" s="6">
        <f>$P$9*$O$25</f>
        <v>0.98804117818880599</v>
      </c>
      <c r="K39" s="3">
        <f t="shared" si="1"/>
        <v>35.847696211333144</v>
      </c>
      <c r="L39">
        <f>K39/H39</f>
        <v>37.050328273873497</v>
      </c>
    </row>
    <row r="40" spans="1:12" x14ac:dyDescent="0.25">
      <c r="A40">
        <v>2003</v>
      </c>
      <c r="B40" t="s">
        <v>3</v>
      </c>
      <c r="C40">
        <v>42.212000000000003</v>
      </c>
      <c r="D40">
        <v>39</v>
      </c>
      <c r="E40">
        <f t="shared" si="0"/>
        <v>29</v>
      </c>
      <c r="F40" s="3">
        <f t="shared" si="2"/>
        <v>38.418750000000003</v>
      </c>
      <c r="G40" s="3">
        <f t="shared" si="3"/>
        <v>37.842124999999996</v>
      </c>
      <c r="H40" s="2">
        <f t="shared" si="4"/>
        <v>1.1154764696749986</v>
      </c>
      <c r="I40" s="6">
        <f>$P$10*$O$25</f>
        <v>1.1065249044934158</v>
      </c>
      <c r="K40" s="3">
        <f t="shared" si="1"/>
        <v>38.148260223140035</v>
      </c>
      <c r="L40">
        <f>K40/H40</f>
        <v>34.199072109745877</v>
      </c>
    </row>
    <row r="41" spans="1:12" x14ac:dyDescent="0.25">
      <c r="A41">
        <v>2003</v>
      </c>
      <c r="B41" t="s">
        <v>4</v>
      </c>
      <c r="C41">
        <v>40.936</v>
      </c>
      <c r="D41">
        <v>40</v>
      </c>
      <c r="E41">
        <f t="shared" si="0"/>
        <v>31</v>
      </c>
      <c r="F41" s="3">
        <f t="shared" si="2"/>
        <v>39.875166666666665</v>
      </c>
      <c r="G41" s="3">
        <f t="shared" si="3"/>
        <v>39.14695833333333</v>
      </c>
      <c r="H41" s="2">
        <f t="shared" si="4"/>
        <v>1.0457006557555026</v>
      </c>
      <c r="I41" s="6">
        <f>$P$11*$O$25</f>
        <v>1.0692611928676632</v>
      </c>
      <c r="K41" s="3">
        <f t="shared" si="1"/>
        <v>38.284378291344602</v>
      </c>
      <c r="L41">
        <f>K41/H41</f>
        <v>36.611221462498492</v>
      </c>
    </row>
    <row r="42" spans="1:12" x14ac:dyDescent="0.25">
      <c r="A42">
        <v>2003</v>
      </c>
      <c r="B42" t="s">
        <v>5</v>
      </c>
      <c r="C42">
        <v>36.901000000000003</v>
      </c>
      <c r="D42">
        <v>41</v>
      </c>
      <c r="E42">
        <f t="shared" si="0"/>
        <v>33</v>
      </c>
      <c r="F42" s="3">
        <f t="shared" si="2"/>
        <v>41.701000000000001</v>
      </c>
      <c r="G42" s="3">
        <f t="shared" si="3"/>
        <v>40.788083333333333</v>
      </c>
      <c r="H42" s="2">
        <f t="shared" si="4"/>
        <v>0.90470051506056726</v>
      </c>
      <c r="I42" s="6">
        <f>$P$12*$O$25</f>
        <v>0.95160779700101827</v>
      </c>
      <c r="K42" s="3">
        <f t="shared" si="1"/>
        <v>38.77753010882541</v>
      </c>
      <c r="L42">
        <f>K42/H42</f>
        <v>42.86228366547283</v>
      </c>
    </row>
    <row r="43" spans="1:12" x14ac:dyDescent="0.25">
      <c r="A43">
        <v>2003</v>
      </c>
      <c r="B43" t="s">
        <v>6</v>
      </c>
      <c r="C43">
        <v>40.692</v>
      </c>
      <c r="D43">
        <v>42</v>
      </c>
      <c r="E43">
        <f t="shared" si="0"/>
        <v>35</v>
      </c>
      <c r="F43" s="3">
        <f t="shared" si="2"/>
        <v>43.1205</v>
      </c>
      <c r="G43" s="3">
        <f t="shared" si="3"/>
        <v>42.41075</v>
      </c>
      <c r="H43" s="2">
        <f t="shared" si="4"/>
        <v>0.95947371833792139</v>
      </c>
      <c r="I43" s="6">
        <f>$P$13*$O$25</f>
        <v>0.97416118260990037</v>
      </c>
      <c r="K43" s="3">
        <f t="shared" si="1"/>
        <v>41.771321549664925</v>
      </c>
      <c r="L43">
        <f>K43/H43</f>
        <v>43.53565996786719</v>
      </c>
    </row>
    <row r="44" spans="1:12" x14ac:dyDescent="0.25">
      <c r="A44">
        <v>2003</v>
      </c>
      <c r="B44" t="s">
        <v>7</v>
      </c>
      <c r="C44">
        <v>43.628999999999998</v>
      </c>
      <c r="D44">
        <v>43</v>
      </c>
      <c r="E44">
        <f t="shared" si="0"/>
        <v>37</v>
      </c>
      <c r="F44" s="5"/>
      <c r="G44" s="5"/>
      <c r="H44" s="5"/>
      <c r="I44" s="6">
        <f>$P$14*$O$25</f>
        <v>1.0152265470733872</v>
      </c>
      <c r="K44" s="3">
        <f t="shared" si="1"/>
        <v>42.974644551770382</v>
      </c>
    </row>
    <row r="45" spans="1:12" x14ac:dyDescent="0.25">
      <c r="A45">
        <v>2003</v>
      </c>
      <c r="B45" t="s">
        <v>8</v>
      </c>
      <c r="C45">
        <v>45.575000000000003</v>
      </c>
      <c r="D45">
        <v>44</v>
      </c>
      <c r="E45">
        <f t="shared" si="0"/>
        <v>39</v>
      </c>
      <c r="F45" s="5"/>
      <c r="G45" s="5"/>
      <c r="H45" s="5"/>
      <c r="I45" s="6">
        <f>$P$15*$O$25</f>
        <v>0.98612970255909205</v>
      </c>
      <c r="K45" s="3">
        <f t="shared" si="1"/>
        <v>46.216030083800263</v>
      </c>
    </row>
    <row r="46" spans="1:12" x14ac:dyDescent="0.25">
      <c r="A46">
        <v>2003</v>
      </c>
      <c r="B46" t="s">
        <v>9</v>
      </c>
      <c r="C46">
        <v>43.198999999999998</v>
      </c>
      <c r="D46">
        <v>45</v>
      </c>
      <c r="E46">
        <f>2*(D46-$H$60)</f>
        <v>41</v>
      </c>
      <c r="F46" s="5"/>
      <c r="G46" s="5"/>
      <c r="H46" s="5"/>
      <c r="I46" s="6">
        <f>$P$16*$O$25</f>
        <v>0.94550278097809726</v>
      </c>
      <c r="K46" s="3">
        <f t="shared" si="1"/>
        <v>45.68891902709349</v>
      </c>
    </row>
    <row r="47" spans="1:12" x14ac:dyDescent="0.25">
      <c r="A47">
        <v>2003</v>
      </c>
      <c r="B47" t="s">
        <v>10</v>
      </c>
      <c r="C47">
        <v>45.526000000000003</v>
      </c>
      <c r="D47">
        <v>46</v>
      </c>
      <c r="E47">
        <f t="shared" si="0"/>
        <v>43</v>
      </c>
      <c r="F47" s="5"/>
      <c r="G47" s="5"/>
      <c r="H47" s="5"/>
      <c r="I47" s="6">
        <f>$P$17*$O$25</f>
        <v>0.87697479382143151</v>
      </c>
      <c r="K47" s="3">
        <f t="shared" si="1"/>
        <v>51.912552471000609</v>
      </c>
    </row>
    <row r="48" spans="1:12" x14ac:dyDescent="0.25">
      <c r="A48">
        <v>2003</v>
      </c>
      <c r="B48" t="s">
        <v>11</v>
      </c>
      <c r="C48">
        <v>50.65</v>
      </c>
      <c r="D48">
        <v>47</v>
      </c>
      <c r="E48">
        <f t="shared" si="0"/>
        <v>45</v>
      </c>
      <c r="F48" s="5"/>
      <c r="G48" s="5"/>
      <c r="H48" s="5"/>
      <c r="I48" s="6">
        <f>$P$18*$O$25</f>
        <v>0.87519228600049281</v>
      </c>
      <c r="K48" s="3">
        <f t="shared" si="1"/>
        <v>57.872996380559364</v>
      </c>
    </row>
    <row r="49" spans="1:11" x14ac:dyDescent="0.25">
      <c r="A49">
        <v>2003</v>
      </c>
      <c r="B49" t="s">
        <v>12</v>
      </c>
      <c r="C49">
        <v>55.83</v>
      </c>
      <c r="D49">
        <v>48</v>
      </c>
      <c r="E49">
        <f t="shared" si="0"/>
        <v>47</v>
      </c>
      <c r="F49" s="5"/>
      <c r="G49" s="5"/>
      <c r="H49" s="5"/>
      <c r="I49" s="6">
        <f>$P$19*$O$25</f>
        <v>1.1495355276917401</v>
      </c>
      <c r="K49" s="3">
        <f t="shared" si="1"/>
        <v>48.567441940751742</v>
      </c>
    </row>
    <row r="50" spans="1:11" x14ac:dyDescent="0.25">
      <c r="A50">
        <v>2004</v>
      </c>
      <c r="B50" t="s">
        <v>1</v>
      </c>
      <c r="D50">
        <v>49</v>
      </c>
      <c r="E50">
        <f t="shared" si="0"/>
        <v>49</v>
      </c>
      <c r="F50" s="3"/>
      <c r="G50" s="3"/>
    </row>
    <row r="51" spans="1:11" x14ac:dyDescent="0.25">
      <c r="A51">
        <v>2004</v>
      </c>
      <c r="B51" t="s">
        <v>2</v>
      </c>
      <c r="D51">
        <v>50</v>
      </c>
      <c r="E51">
        <f t="shared" si="0"/>
        <v>51</v>
      </c>
    </row>
    <row r="52" spans="1:11" x14ac:dyDescent="0.25">
      <c r="A52">
        <v>2004</v>
      </c>
      <c r="B52" t="s">
        <v>3</v>
      </c>
      <c r="D52">
        <v>51</v>
      </c>
      <c r="E52">
        <f>2*(D52-$H$60)</f>
        <v>53</v>
      </c>
    </row>
    <row r="60" spans="1:11" x14ac:dyDescent="0.25">
      <c r="F60" t="s">
        <v>19</v>
      </c>
      <c r="H60">
        <f>AVERAGE(D2:D49)</f>
        <v>24.5</v>
      </c>
    </row>
  </sheetData>
  <mergeCells count="3">
    <mergeCell ref="F2:F6"/>
    <mergeCell ref="G2:G7"/>
    <mergeCell ref="F44:H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2025-06-08T19:29:29Z</dcterms:created>
  <dcterms:modified xsi:type="dcterms:W3CDTF">2025-06-11T03:46:12Z</dcterms:modified>
</cp:coreProperties>
</file>