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8\"/>
    </mc:Choice>
  </mc:AlternateContent>
  <xr:revisionPtr revIDLastSave="0" documentId="13_ncr:1_{34CFC5FE-6EAD-465C-AF39-372DFD1DB14E}" xr6:coauthVersionLast="47" xr6:coauthVersionMax="47" xr10:uidLastSave="{00000000-0000-0000-0000-000000000000}"/>
  <bookViews>
    <workbookView xWindow="-120" yWindow="-120" windowWidth="29040" windowHeight="15840" xr2:uid="{84CA6013-C217-43DA-9E10-05DC209E6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4" i="1"/>
  <c r="F5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4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4" i="1"/>
</calcChain>
</file>

<file path=xl/sharedStrings.xml><?xml version="1.0" encoding="utf-8"?>
<sst xmlns="http://schemas.openxmlformats.org/spreadsheetml/2006/main" count="15" uniqueCount="15">
  <si>
    <t>año</t>
  </si>
  <si>
    <t>ganancias</t>
  </si>
  <si>
    <t>Los datos de la siguiente tabla representan las ganancias anuales por acción de una empresa durante el período comprendido entre los años 1980 y 2002.</t>
  </si>
  <si>
    <t xml:space="preserve">PM2 </t>
  </si>
  <si>
    <t xml:space="preserve">PM5 </t>
  </si>
  <si>
    <t>SE 0.25</t>
  </si>
  <si>
    <t>SE 0.5</t>
  </si>
  <si>
    <t>SE 0.75</t>
  </si>
  <si>
    <t>Es posible tomar alguno de los valores suavizados exponencialmente para el año 2002 como pronóstico para el año 2003, por ejemplo 3.10</t>
  </si>
  <si>
    <r>
      <rPr>
        <sz val="11"/>
        <color rgb="FFFF0000"/>
        <rFont val="Aptos Narrow"/>
        <family val="2"/>
        <scheme val="minor"/>
      </rPr>
      <t>c)</t>
    </r>
    <r>
      <rPr>
        <sz val="11"/>
        <color theme="1"/>
        <rFont val="Aptos Narrow"/>
        <family val="2"/>
        <scheme val="minor"/>
      </rPr>
      <t xml:space="preserve"> Realice una predicción para el año 2003.</t>
    </r>
  </si>
  <si>
    <r>
      <rPr>
        <sz val="11"/>
        <color rgb="FFFF0000"/>
        <rFont val="Aptos Narrow"/>
        <family val="2"/>
        <scheme val="minor"/>
      </rPr>
      <t>b)</t>
    </r>
    <r>
      <rPr>
        <sz val="11"/>
        <color theme="1"/>
        <rFont val="Aptos Narrow"/>
        <family val="2"/>
        <scheme val="minor"/>
      </rPr>
      <t xml:space="preserve"> Compare las suavizaciones realizadas y obtenga conclusiones.</t>
    </r>
  </si>
  <si>
    <r>
      <rPr>
        <sz val="11"/>
        <color rgb="FFFF0000"/>
        <rFont val="Aptos Narrow"/>
        <family val="2"/>
        <scheme val="minor"/>
      </rPr>
      <t>a)</t>
    </r>
    <r>
      <rPr>
        <sz val="11"/>
        <color theme="1"/>
        <rFont val="Aptos Narrow"/>
        <family val="2"/>
        <scheme val="minor"/>
      </rPr>
      <t xml:space="preserve"> Suavice esta serie utilizando los métodos conocidos</t>
    </r>
  </si>
  <si>
    <r>
      <t xml:space="preserve">El suavizamiento </t>
    </r>
    <r>
      <rPr>
        <b/>
        <sz val="11"/>
        <color theme="1"/>
        <rFont val="Aptos Narrow"/>
        <family val="2"/>
        <scheme val="minor"/>
      </rPr>
      <t>exponencial</t>
    </r>
    <r>
      <rPr>
        <sz val="11"/>
        <color theme="1"/>
        <rFont val="Aptos Narrow"/>
        <family val="2"/>
        <scheme val="minor"/>
      </rPr>
      <t xml:space="preserve"> permite controlar el grado de suavización con ω.</t>
    </r>
  </si>
  <si>
    <r>
      <t xml:space="preserve">Las </t>
    </r>
    <r>
      <rPr>
        <b/>
        <sz val="11"/>
        <color theme="1"/>
        <rFont val="Aptos Narrow"/>
        <family val="2"/>
        <scheme val="minor"/>
      </rPr>
      <t>medias móviles</t>
    </r>
    <r>
      <rPr>
        <sz val="11"/>
        <color theme="1"/>
        <rFont val="Aptos Narrow"/>
        <family val="2"/>
        <scheme val="minor"/>
      </rPr>
      <t xml:space="preserve"> de mayor orden suavizan más, pero sacrifican más datos en los extremos.</t>
    </r>
  </si>
  <si>
    <t>Se recomienda utilizar un valor suavizado cercano a 2002 como pronóstico para 2003.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</si>
</sst>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Ganancias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Hoja1!$B$3:$B$25</c:f>
              <c:numCache>
                <c:formatCode>General</c:formatCode>
                <c:ptCount val="23"/>
                <c:pt idx="0">
                  <c:v>2.39</c:v>
                </c:pt>
                <c:pt idx="1">
                  <c:v>1.85</c:v>
                </c:pt>
                <c:pt idx="2">
                  <c:v>2.2200000000000002</c:v>
                </c:pt>
                <c:pt idx="3">
                  <c:v>2.95</c:v>
                </c:pt>
                <c:pt idx="4">
                  <c:v>2.76</c:v>
                </c:pt>
                <c:pt idx="5">
                  <c:v>3.08</c:v>
                </c:pt>
                <c:pt idx="6">
                  <c:v>4.0199999999999996</c:v>
                </c:pt>
                <c:pt idx="7">
                  <c:v>4.7699999999999996</c:v>
                </c:pt>
                <c:pt idx="8">
                  <c:v>5.42</c:v>
                </c:pt>
                <c:pt idx="9">
                  <c:v>5.86</c:v>
                </c:pt>
                <c:pt idx="10">
                  <c:v>6.15</c:v>
                </c:pt>
                <c:pt idx="11">
                  <c:v>6.6</c:v>
                </c:pt>
                <c:pt idx="12">
                  <c:v>5.49</c:v>
                </c:pt>
                <c:pt idx="13">
                  <c:v>5.53</c:v>
                </c:pt>
                <c:pt idx="14">
                  <c:v>6.66</c:v>
                </c:pt>
                <c:pt idx="15">
                  <c:v>3.79</c:v>
                </c:pt>
                <c:pt idx="16">
                  <c:v>7.25</c:v>
                </c:pt>
                <c:pt idx="17">
                  <c:v>4.01</c:v>
                </c:pt>
                <c:pt idx="18">
                  <c:v>4.2300000000000004</c:v>
                </c:pt>
                <c:pt idx="19">
                  <c:v>4.3099999999999996</c:v>
                </c:pt>
                <c:pt idx="20">
                  <c:v>3.39</c:v>
                </c:pt>
                <c:pt idx="21">
                  <c:v>2.2999999999999998</c:v>
                </c:pt>
                <c:pt idx="22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2-47DE-82B6-093EC75A3AF0}"/>
            </c:ext>
          </c:extLst>
        </c:ser>
        <c:ser>
          <c:idx val="1"/>
          <c:order val="1"/>
          <c:tx>
            <c:v>PM2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Hoja1!$C$3:$C$25</c:f>
              <c:numCache>
                <c:formatCode>General</c:formatCode>
                <c:ptCount val="23"/>
                <c:pt idx="1">
                  <c:v>2.12</c:v>
                </c:pt>
                <c:pt idx="2">
                  <c:v>2.0350000000000001</c:v>
                </c:pt>
                <c:pt idx="3">
                  <c:v>2.585</c:v>
                </c:pt>
                <c:pt idx="4">
                  <c:v>2.855</c:v>
                </c:pt>
                <c:pt idx="5">
                  <c:v>2.92</c:v>
                </c:pt>
                <c:pt idx="6">
                  <c:v>3.55</c:v>
                </c:pt>
                <c:pt idx="7">
                  <c:v>4.3949999999999996</c:v>
                </c:pt>
                <c:pt idx="8">
                  <c:v>5.0949999999999998</c:v>
                </c:pt>
                <c:pt idx="9">
                  <c:v>5.6400000000000006</c:v>
                </c:pt>
                <c:pt idx="10">
                  <c:v>6.0050000000000008</c:v>
                </c:pt>
                <c:pt idx="11">
                  <c:v>6.375</c:v>
                </c:pt>
                <c:pt idx="12">
                  <c:v>6.0449999999999999</c:v>
                </c:pt>
                <c:pt idx="13">
                  <c:v>5.51</c:v>
                </c:pt>
                <c:pt idx="14">
                  <c:v>6.0950000000000006</c:v>
                </c:pt>
                <c:pt idx="15">
                  <c:v>5.2249999999999996</c:v>
                </c:pt>
                <c:pt idx="16">
                  <c:v>5.52</c:v>
                </c:pt>
                <c:pt idx="17">
                  <c:v>5.63</c:v>
                </c:pt>
                <c:pt idx="18">
                  <c:v>4.12</c:v>
                </c:pt>
                <c:pt idx="19">
                  <c:v>4.2699999999999996</c:v>
                </c:pt>
                <c:pt idx="20">
                  <c:v>3.8499999999999996</c:v>
                </c:pt>
                <c:pt idx="21">
                  <c:v>2.8449999999999998</c:v>
                </c:pt>
                <c:pt idx="22">
                  <c:v>2.6949999999999998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2-47DE-82B6-093EC75A3AF0}"/>
            </c:ext>
          </c:extLst>
        </c:ser>
        <c:ser>
          <c:idx val="2"/>
          <c:order val="2"/>
          <c:tx>
            <c:v>PM5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Hoja1!$D$3:$D$25</c:f>
              <c:numCache>
                <c:formatCode>General</c:formatCode>
                <c:ptCount val="23"/>
                <c:pt idx="2">
                  <c:v>2.4340000000000002</c:v>
                </c:pt>
                <c:pt idx="3">
                  <c:v>2.5720000000000001</c:v>
                </c:pt>
                <c:pt idx="4">
                  <c:v>3.0059999999999998</c:v>
                </c:pt>
                <c:pt idx="5">
                  <c:v>3.5159999999999996</c:v>
                </c:pt>
                <c:pt idx="6">
                  <c:v>4.01</c:v>
                </c:pt>
                <c:pt idx="7">
                  <c:v>4.63</c:v>
                </c:pt>
                <c:pt idx="8">
                  <c:v>5.2439999999999998</c:v>
                </c:pt>
                <c:pt idx="9">
                  <c:v>5.7600000000000007</c:v>
                </c:pt>
                <c:pt idx="10">
                  <c:v>5.9040000000000008</c:v>
                </c:pt>
                <c:pt idx="11">
                  <c:v>5.9260000000000002</c:v>
                </c:pt>
                <c:pt idx="12">
                  <c:v>6.0860000000000003</c:v>
                </c:pt>
                <c:pt idx="13">
                  <c:v>5.613999999999999</c:v>
                </c:pt>
                <c:pt idx="14">
                  <c:v>5.7439999999999998</c:v>
                </c:pt>
                <c:pt idx="15">
                  <c:v>5.4480000000000004</c:v>
                </c:pt>
                <c:pt idx="16">
                  <c:v>5.1880000000000006</c:v>
                </c:pt>
                <c:pt idx="17">
                  <c:v>4.718</c:v>
                </c:pt>
                <c:pt idx="18">
                  <c:v>4.6379999999999999</c:v>
                </c:pt>
                <c:pt idx="19">
                  <c:v>3.6479999999999997</c:v>
                </c:pt>
                <c:pt idx="20">
                  <c:v>3.464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2-47DE-82B6-093EC75A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145264"/>
        <c:axId val="1221132304"/>
      </c:lineChart>
      <c:catAx>
        <c:axId val="122114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1132304"/>
        <c:crosses val="autoZero"/>
        <c:auto val="1"/>
        <c:lblAlgn val="ctr"/>
        <c:lblOffset val="100"/>
        <c:noMultiLvlLbl val="0"/>
      </c:catAx>
      <c:valAx>
        <c:axId val="1221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114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Ganancia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Hoja1!$B$3:$B$25</c:f>
              <c:numCache>
                <c:formatCode>General</c:formatCode>
                <c:ptCount val="23"/>
                <c:pt idx="0">
                  <c:v>2.39</c:v>
                </c:pt>
                <c:pt idx="1">
                  <c:v>1.85</c:v>
                </c:pt>
                <c:pt idx="2">
                  <c:v>2.2200000000000002</c:v>
                </c:pt>
                <c:pt idx="3">
                  <c:v>2.95</c:v>
                </c:pt>
                <c:pt idx="4">
                  <c:v>2.76</c:v>
                </c:pt>
                <c:pt idx="5">
                  <c:v>3.08</c:v>
                </c:pt>
                <c:pt idx="6">
                  <c:v>4.0199999999999996</c:v>
                </c:pt>
                <c:pt idx="7">
                  <c:v>4.7699999999999996</c:v>
                </c:pt>
                <c:pt idx="8">
                  <c:v>5.42</c:v>
                </c:pt>
                <c:pt idx="9">
                  <c:v>5.86</c:v>
                </c:pt>
                <c:pt idx="10">
                  <c:v>6.15</c:v>
                </c:pt>
                <c:pt idx="11">
                  <c:v>6.6</c:v>
                </c:pt>
                <c:pt idx="12">
                  <c:v>5.49</c:v>
                </c:pt>
                <c:pt idx="13">
                  <c:v>5.53</c:v>
                </c:pt>
                <c:pt idx="14">
                  <c:v>6.66</c:v>
                </c:pt>
                <c:pt idx="15">
                  <c:v>3.79</c:v>
                </c:pt>
                <c:pt idx="16">
                  <c:v>7.25</c:v>
                </c:pt>
                <c:pt idx="17">
                  <c:v>4.01</c:v>
                </c:pt>
                <c:pt idx="18">
                  <c:v>4.2300000000000004</c:v>
                </c:pt>
                <c:pt idx="19">
                  <c:v>4.3099999999999996</c:v>
                </c:pt>
                <c:pt idx="20">
                  <c:v>3.39</c:v>
                </c:pt>
                <c:pt idx="21">
                  <c:v>2.2999999999999998</c:v>
                </c:pt>
                <c:pt idx="22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3-4D75-8EA0-3D553DF95B2E}"/>
            </c:ext>
          </c:extLst>
        </c:ser>
        <c:ser>
          <c:idx val="1"/>
          <c:order val="1"/>
          <c:tx>
            <c:v>SE 0.25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Hoja1!$E$3:$E$25</c:f>
              <c:numCache>
                <c:formatCode>0.00</c:formatCode>
                <c:ptCount val="23"/>
                <c:pt idx="0" formatCode="General">
                  <c:v>2.39</c:v>
                </c:pt>
                <c:pt idx="1">
                  <c:v>2.2549999999999999</c:v>
                </c:pt>
                <c:pt idx="2">
                  <c:v>2.2462499999999999</c:v>
                </c:pt>
                <c:pt idx="3">
                  <c:v>2.4221874999999997</c:v>
                </c:pt>
                <c:pt idx="4">
                  <c:v>2.5066406249999997</c:v>
                </c:pt>
                <c:pt idx="5">
                  <c:v>2.6499804687499999</c:v>
                </c:pt>
                <c:pt idx="6">
                  <c:v>2.9924853515624998</c:v>
                </c:pt>
                <c:pt idx="7">
                  <c:v>3.4368640136718747</c:v>
                </c:pt>
                <c:pt idx="8">
                  <c:v>3.9326480102539061</c:v>
                </c:pt>
                <c:pt idx="9">
                  <c:v>4.4144860076904298</c:v>
                </c:pt>
                <c:pt idx="10">
                  <c:v>4.8483645057678224</c:v>
                </c:pt>
                <c:pt idx="11">
                  <c:v>5.2862733793258663</c:v>
                </c:pt>
                <c:pt idx="12">
                  <c:v>5.3372050344943993</c:v>
                </c:pt>
                <c:pt idx="13">
                  <c:v>5.3854037758707998</c:v>
                </c:pt>
                <c:pt idx="14">
                  <c:v>5.7040528319031001</c:v>
                </c:pt>
                <c:pt idx="15">
                  <c:v>5.2255396239273253</c:v>
                </c:pt>
                <c:pt idx="16">
                  <c:v>5.731654717945494</c:v>
                </c:pt>
                <c:pt idx="17">
                  <c:v>5.3012410384591195</c:v>
                </c:pt>
                <c:pt idx="18">
                  <c:v>5.0334307788443393</c:v>
                </c:pt>
                <c:pt idx="19">
                  <c:v>4.8525730841332546</c:v>
                </c:pt>
                <c:pt idx="20">
                  <c:v>4.4869298130999411</c:v>
                </c:pt>
                <c:pt idx="21">
                  <c:v>3.940197359824956</c:v>
                </c:pt>
                <c:pt idx="22">
                  <c:v>3.7276480198687167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3-4D75-8EA0-3D553DF95B2E}"/>
            </c:ext>
          </c:extLst>
        </c:ser>
        <c:ser>
          <c:idx val="2"/>
          <c:order val="2"/>
          <c:tx>
            <c:v>SE 0.5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Hoja1!$F$3:$F$25</c:f>
              <c:numCache>
                <c:formatCode>0.00</c:formatCode>
                <c:ptCount val="23"/>
                <c:pt idx="0" formatCode="General">
                  <c:v>2.39</c:v>
                </c:pt>
                <c:pt idx="1">
                  <c:v>2.12</c:v>
                </c:pt>
                <c:pt idx="2">
                  <c:v>2.17</c:v>
                </c:pt>
                <c:pt idx="3">
                  <c:v>2.56</c:v>
                </c:pt>
                <c:pt idx="4">
                  <c:v>2.66</c:v>
                </c:pt>
                <c:pt idx="5">
                  <c:v>2.87</c:v>
                </c:pt>
                <c:pt idx="6">
                  <c:v>3.4449999999999998</c:v>
                </c:pt>
                <c:pt idx="7">
                  <c:v>4.1074999999999999</c:v>
                </c:pt>
                <c:pt idx="8">
                  <c:v>4.7637499999999999</c:v>
                </c:pt>
                <c:pt idx="9">
                  <c:v>5.3118750000000006</c:v>
                </c:pt>
                <c:pt idx="10">
                  <c:v>5.7309375000000005</c:v>
                </c:pt>
                <c:pt idx="11">
                  <c:v>6.1654687500000005</c:v>
                </c:pt>
                <c:pt idx="12">
                  <c:v>5.8277343750000004</c:v>
                </c:pt>
                <c:pt idx="13">
                  <c:v>5.6788671874999999</c:v>
                </c:pt>
                <c:pt idx="14">
                  <c:v>6.16943359375</c:v>
                </c:pt>
                <c:pt idx="15">
                  <c:v>4.9797167968749996</c:v>
                </c:pt>
                <c:pt idx="16">
                  <c:v>6.1148583984374998</c:v>
                </c:pt>
                <c:pt idx="17">
                  <c:v>5.0624291992187498</c:v>
                </c:pt>
                <c:pt idx="18">
                  <c:v>4.6462145996093751</c:v>
                </c:pt>
                <c:pt idx="19">
                  <c:v>4.4781072998046874</c:v>
                </c:pt>
                <c:pt idx="20">
                  <c:v>3.934053649902344</c:v>
                </c:pt>
                <c:pt idx="21">
                  <c:v>3.1170268249511719</c:v>
                </c:pt>
                <c:pt idx="22">
                  <c:v>3.1035134124755857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3-4D75-8EA0-3D553DF95B2E}"/>
            </c:ext>
          </c:extLst>
        </c:ser>
        <c:ser>
          <c:idx val="3"/>
          <c:order val="3"/>
          <c:tx>
            <c:v>SE 0.75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Hoja1!$G$3:$G$25</c:f>
              <c:numCache>
                <c:formatCode>0.00</c:formatCode>
                <c:ptCount val="23"/>
                <c:pt idx="0" formatCode="General">
                  <c:v>2.39</c:v>
                </c:pt>
                <c:pt idx="1">
                  <c:v>1.9850000000000003</c:v>
                </c:pt>
                <c:pt idx="2">
                  <c:v>2.1612499999999999</c:v>
                </c:pt>
                <c:pt idx="3">
                  <c:v>2.7528125000000001</c:v>
                </c:pt>
                <c:pt idx="4">
                  <c:v>2.7582031249999996</c:v>
                </c:pt>
                <c:pt idx="5">
                  <c:v>2.99955078125</c:v>
                </c:pt>
                <c:pt idx="6">
                  <c:v>3.7648876953124999</c:v>
                </c:pt>
                <c:pt idx="7">
                  <c:v>4.5187219238281244</c:v>
                </c:pt>
                <c:pt idx="8">
                  <c:v>5.1946804809570306</c:v>
                </c:pt>
                <c:pt idx="9">
                  <c:v>5.6936701202392577</c:v>
                </c:pt>
                <c:pt idx="10">
                  <c:v>6.0359175300598151</c:v>
                </c:pt>
                <c:pt idx="11">
                  <c:v>6.4589793825149533</c:v>
                </c:pt>
                <c:pt idx="12">
                  <c:v>5.7322448456287383</c:v>
                </c:pt>
                <c:pt idx="13">
                  <c:v>5.5805612114071845</c:v>
                </c:pt>
                <c:pt idx="14">
                  <c:v>6.3901403028517958</c:v>
                </c:pt>
                <c:pt idx="15">
                  <c:v>4.4400350757129488</c:v>
                </c:pt>
                <c:pt idx="16">
                  <c:v>6.5475087689282372</c:v>
                </c:pt>
                <c:pt idx="17">
                  <c:v>4.6443771922320591</c:v>
                </c:pt>
                <c:pt idx="18">
                  <c:v>4.3335942980580153</c:v>
                </c:pt>
                <c:pt idx="19">
                  <c:v>4.3158985745145042</c:v>
                </c:pt>
                <c:pt idx="20">
                  <c:v>3.621474643628626</c:v>
                </c:pt>
                <c:pt idx="21">
                  <c:v>2.6303686609071564</c:v>
                </c:pt>
                <c:pt idx="22">
                  <c:v>2.9750921652267888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83-4D75-8EA0-3D553DF95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836048"/>
        <c:axId val="1252839888"/>
      </c:lineChart>
      <c:catAx>
        <c:axId val="1252836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2839888"/>
        <c:crosses val="autoZero"/>
        <c:auto val="1"/>
        <c:lblAlgn val="ctr"/>
        <c:lblOffset val="100"/>
        <c:noMultiLvlLbl val="0"/>
      </c:catAx>
      <c:valAx>
        <c:axId val="12528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283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533400</xdr:colOff>
      <xdr:row>14</xdr:row>
      <xdr:rowOff>166687</xdr:rowOff>
    </xdr:from>
    <xdr:to>
      <xdr:col>19</xdr:col>
      <xdr:colOff>533400</xdr:colOff>
      <xdr:row>29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4BE187-69B7-272C-D7AF-A6E36C011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409575</xdr:colOff>
      <xdr:row>14</xdr:row>
      <xdr:rowOff>176212</xdr:rowOff>
    </xdr:from>
    <xdr:to>
      <xdr:col>13</xdr:col>
      <xdr:colOff>409575</xdr:colOff>
      <xdr:row>29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A07F59-0F52-7B93-3E9F-723423BE2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83AE-EB1D-4EEB-885D-063C3B5E9D90}">
  <dimension ref="A1:I25"/>
  <sheetViews>
    <sheetView tabSelected="1" zoomScaleNormal="100" workbookViewId="0">
      <selection activeCell="N5" sqref="N5"/>
    </sheetView>
  </sheetViews>
  <sheetFormatPr baseColWidth="10" defaultRowHeight="15" x14ac:dyDescent="0.25"/>
  <sheetData>
    <row r="1" spans="1:9" ht="15.75" thickBot="1" x14ac:dyDescent="0.3">
      <c r="A1" t="s">
        <v>2</v>
      </c>
    </row>
    <row r="2" spans="1:9" ht="15.75" thickBot="1" x14ac:dyDescent="0.3">
      <c r="A2" s="3" t="s">
        <v>0</v>
      </c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1:9" x14ac:dyDescent="0.25">
      <c r="A3" s="2">
        <v>1980</v>
      </c>
      <c r="B3" s="2">
        <v>2.39</v>
      </c>
      <c r="C3" s="2"/>
      <c r="D3" s="2"/>
      <c r="E3" s="2">
        <v>2.39</v>
      </c>
      <c r="F3" s="2">
        <v>2.39</v>
      </c>
      <c r="G3" s="2">
        <v>2.39</v>
      </c>
    </row>
    <row r="4" spans="1:9" x14ac:dyDescent="0.25">
      <c r="A4" s="1">
        <v>1981</v>
      </c>
      <c r="B4" s="1">
        <v>1.85</v>
      </c>
      <c r="C4" s="1">
        <f>(B4+B3)/2</f>
        <v>2.12</v>
      </c>
      <c r="D4" s="1"/>
      <c r="E4" s="6">
        <f>0.25*B4+(1-0.25)*E3</f>
        <v>2.2549999999999999</v>
      </c>
      <c r="F4" s="6">
        <f>0.5*B4+(1-0.5)*F3</f>
        <v>2.12</v>
      </c>
      <c r="G4" s="6">
        <f>0.75*B4+(1-0.75)*G3</f>
        <v>1.9850000000000003</v>
      </c>
    </row>
    <row r="5" spans="1:9" x14ac:dyDescent="0.25">
      <c r="A5" s="1">
        <v>1982</v>
      </c>
      <c r="B5" s="1">
        <v>2.2200000000000002</v>
      </c>
      <c r="C5" s="1">
        <f t="shared" ref="C5:C25" si="0">(B5+B4)/2</f>
        <v>2.0350000000000001</v>
      </c>
      <c r="D5" s="1">
        <f>(B5+B4+B3+B6+B7)/5</f>
        <v>2.4340000000000002</v>
      </c>
      <c r="E5" s="6">
        <f t="shared" ref="E5:E25" si="1">0.25*B5+(1-0.25)*E4</f>
        <v>2.2462499999999999</v>
      </c>
      <c r="F5" s="6">
        <f t="shared" ref="F5:F25" si="2">0.5*B5+(1-0.5)*F4</f>
        <v>2.17</v>
      </c>
      <c r="G5" s="6">
        <f t="shared" ref="G5:G25" si="3">0.75*B5+(1-0.75)*G4</f>
        <v>2.1612499999999999</v>
      </c>
      <c r="I5" t="s">
        <v>11</v>
      </c>
    </row>
    <row r="6" spans="1:9" x14ac:dyDescent="0.25">
      <c r="A6" s="1">
        <v>1983</v>
      </c>
      <c r="B6" s="1">
        <v>2.95</v>
      </c>
      <c r="C6" s="1">
        <f t="shared" si="0"/>
        <v>2.585</v>
      </c>
      <c r="D6" s="1">
        <f t="shared" ref="D6:D25" si="4">(B6+B5+B4+B7+B8)/5</f>
        <v>2.5720000000000001</v>
      </c>
      <c r="E6" s="6">
        <f t="shared" si="1"/>
        <v>2.4221874999999997</v>
      </c>
      <c r="F6" s="6">
        <f t="shared" si="2"/>
        <v>2.56</v>
      </c>
      <c r="G6" s="6">
        <f t="shared" si="3"/>
        <v>2.7528125000000001</v>
      </c>
    </row>
    <row r="7" spans="1:9" x14ac:dyDescent="0.25">
      <c r="A7" s="1">
        <v>1984</v>
      </c>
      <c r="B7" s="1">
        <v>2.76</v>
      </c>
      <c r="C7" s="1">
        <f t="shared" si="0"/>
        <v>2.855</v>
      </c>
      <c r="D7" s="1">
        <f t="shared" si="4"/>
        <v>3.0059999999999998</v>
      </c>
      <c r="E7" s="6">
        <f t="shared" si="1"/>
        <v>2.5066406249999997</v>
      </c>
      <c r="F7" s="6">
        <f t="shared" si="2"/>
        <v>2.66</v>
      </c>
      <c r="G7" s="6">
        <f t="shared" si="3"/>
        <v>2.7582031249999996</v>
      </c>
      <c r="I7" t="s">
        <v>10</v>
      </c>
    </row>
    <row r="8" spans="1:9" x14ac:dyDescent="0.25">
      <c r="A8" s="1">
        <v>1985</v>
      </c>
      <c r="B8" s="1">
        <v>3.08</v>
      </c>
      <c r="C8" s="1">
        <f t="shared" si="0"/>
        <v>2.92</v>
      </c>
      <c r="D8" s="1">
        <f t="shared" si="4"/>
        <v>3.5159999999999996</v>
      </c>
      <c r="E8" s="6">
        <f t="shared" si="1"/>
        <v>2.6499804687499999</v>
      </c>
      <c r="F8" s="6">
        <f t="shared" si="2"/>
        <v>2.87</v>
      </c>
      <c r="G8" s="6">
        <f t="shared" si="3"/>
        <v>2.99955078125</v>
      </c>
      <c r="I8" t="s">
        <v>12</v>
      </c>
    </row>
    <row r="9" spans="1:9" x14ac:dyDescent="0.25">
      <c r="A9" s="1">
        <v>1986</v>
      </c>
      <c r="B9" s="1">
        <v>4.0199999999999996</v>
      </c>
      <c r="C9" s="1">
        <f t="shared" si="0"/>
        <v>3.55</v>
      </c>
      <c r="D9" s="1">
        <f t="shared" si="4"/>
        <v>4.01</v>
      </c>
      <c r="E9" s="6">
        <f t="shared" si="1"/>
        <v>2.9924853515624998</v>
      </c>
      <c r="F9" s="6">
        <f t="shared" si="2"/>
        <v>3.4449999999999998</v>
      </c>
      <c r="G9" s="6">
        <f t="shared" si="3"/>
        <v>3.7648876953124999</v>
      </c>
      <c r="I9" t="s">
        <v>13</v>
      </c>
    </row>
    <row r="10" spans="1:9" x14ac:dyDescent="0.25">
      <c r="A10" s="1">
        <v>1987</v>
      </c>
      <c r="B10" s="1">
        <v>4.7699999999999996</v>
      </c>
      <c r="C10" s="1">
        <f t="shared" si="0"/>
        <v>4.3949999999999996</v>
      </c>
      <c r="D10" s="1">
        <f t="shared" si="4"/>
        <v>4.63</v>
      </c>
      <c r="E10" s="6">
        <f t="shared" si="1"/>
        <v>3.4368640136718747</v>
      </c>
      <c r="F10" s="6">
        <f t="shared" si="2"/>
        <v>4.1074999999999999</v>
      </c>
      <c r="G10" s="6">
        <f t="shared" si="3"/>
        <v>4.5187219238281244</v>
      </c>
      <c r="I10" t="s">
        <v>14</v>
      </c>
    </row>
    <row r="11" spans="1:9" x14ac:dyDescent="0.25">
      <c r="A11" s="1">
        <v>1988</v>
      </c>
      <c r="B11" s="1">
        <v>5.42</v>
      </c>
      <c r="C11" s="1">
        <f t="shared" si="0"/>
        <v>5.0949999999999998</v>
      </c>
      <c r="D11" s="1">
        <f t="shared" si="4"/>
        <v>5.2439999999999998</v>
      </c>
      <c r="E11" s="6">
        <f t="shared" si="1"/>
        <v>3.9326480102539061</v>
      </c>
      <c r="F11" s="6">
        <f t="shared" si="2"/>
        <v>4.7637499999999999</v>
      </c>
      <c r="G11" s="6">
        <f t="shared" si="3"/>
        <v>5.1946804809570306</v>
      </c>
    </row>
    <row r="12" spans="1:9" x14ac:dyDescent="0.25">
      <c r="A12" s="1">
        <v>1989</v>
      </c>
      <c r="B12" s="1">
        <v>5.86</v>
      </c>
      <c r="C12" s="1">
        <f t="shared" si="0"/>
        <v>5.6400000000000006</v>
      </c>
      <c r="D12" s="1">
        <f t="shared" si="4"/>
        <v>5.7600000000000007</v>
      </c>
      <c r="E12" s="6">
        <f t="shared" si="1"/>
        <v>4.4144860076904298</v>
      </c>
      <c r="F12" s="6">
        <f t="shared" si="2"/>
        <v>5.3118750000000006</v>
      </c>
      <c r="G12" s="6">
        <f t="shared" si="3"/>
        <v>5.6936701202392577</v>
      </c>
      <c r="I12" t="s">
        <v>9</v>
      </c>
    </row>
    <row r="13" spans="1:9" x14ac:dyDescent="0.25">
      <c r="A13" s="1">
        <v>1990</v>
      </c>
      <c r="B13" s="1">
        <v>6.15</v>
      </c>
      <c r="C13" s="1">
        <f t="shared" si="0"/>
        <v>6.0050000000000008</v>
      </c>
      <c r="D13" s="1">
        <f t="shared" si="4"/>
        <v>5.9040000000000008</v>
      </c>
      <c r="E13" s="6">
        <f t="shared" si="1"/>
        <v>4.8483645057678224</v>
      </c>
      <c r="F13" s="6">
        <f t="shared" si="2"/>
        <v>5.7309375000000005</v>
      </c>
      <c r="G13" s="6">
        <f t="shared" si="3"/>
        <v>6.0359175300598151</v>
      </c>
      <c r="I13" t="s">
        <v>8</v>
      </c>
    </row>
    <row r="14" spans="1:9" x14ac:dyDescent="0.25">
      <c r="A14" s="1">
        <v>1991</v>
      </c>
      <c r="B14" s="1">
        <v>6.6</v>
      </c>
      <c r="C14" s="1">
        <f t="shared" si="0"/>
        <v>6.375</v>
      </c>
      <c r="D14" s="1">
        <f t="shared" si="4"/>
        <v>5.9260000000000002</v>
      </c>
      <c r="E14" s="6">
        <f t="shared" si="1"/>
        <v>5.2862733793258663</v>
      </c>
      <c r="F14" s="6">
        <f t="shared" si="2"/>
        <v>6.1654687500000005</v>
      </c>
      <c r="G14" s="6">
        <f t="shared" si="3"/>
        <v>6.4589793825149533</v>
      </c>
    </row>
    <row r="15" spans="1:9" x14ac:dyDescent="0.25">
      <c r="A15" s="1">
        <v>1992</v>
      </c>
      <c r="B15" s="1">
        <v>5.49</v>
      </c>
      <c r="C15" s="1">
        <f t="shared" si="0"/>
        <v>6.0449999999999999</v>
      </c>
      <c r="D15" s="1">
        <f t="shared" si="4"/>
        <v>6.0860000000000003</v>
      </c>
      <c r="E15" s="6">
        <f t="shared" si="1"/>
        <v>5.3372050344943993</v>
      </c>
      <c r="F15" s="6">
        <f t="shared" si="2"/>
        <v>5.8277343750000004</v>
      </c>
      <c r="G15" s="6">
        <f t="shared" si="3"/>
        <v>5.7322448456287383</v>
      </c>
    </row>
    <row r="16" spans="1:9" x14ac:dyDescent="0.25">
      <c r="A16" s="1">
        <v>1993</v>
      </c>
      <c r="B16" s="1">
        <v>5.53</v>
      </c>
      <c r="C16" s="1">
        <f t="shared" si="0"/>
        <v>5.51</v>
      </c>
      <c r="D16" s="1">
        <f t="shared" si="4"/>
        <v>5.613999999999999</v>
      </c>
      <c r="E16" s="6">
        <f t="shared" si="1"/>
        <v>5.3854037758707998</v>
      </c>
      <c r="F16" s="6">
        <f t="shared" si="2"/>
        <v>5.6788671874999999</v>
      </c>
      <c r="G16" s="6">
        <f t="shared" si="3"/>
        <v>5.5805612114071845</v>
      </c>
    </row>
    <row r="17" spans="1:7" x14ac:dyDescent="0.25">
      <c r="A17" s="1">
        <v>1994</v>
      </c>
      <c r="B17" s="1">
        <v>6.66</v>
      </c>
      <c r="C17" s="1">
        <f t="shared" si="0"/>
        <v>6.0950000000000006</v>
      </c>
      <c r="D17" s="1">
        <f t="shared" si="4"/>
        <v>5.7439999999999998</v>
      </c>
      <c r="E17" s="6">
        <f t="shared" si="1"/>
        <v>5.7040528319031001</v>
      </c>
      <c r="F17" s="6">
        <f t="shared" si="2"/>
        <v>6.16943359375</v>
      </c>
      <c r="G17" s="6">
        <f t="shared" si="3"/>
        <v>6.3901403028517958</v>
      </c>
    </row>
    <row r="18" spans="1:7" x14ac:dyDescent="0.25">
      <c r="A18" s="1">
        <v>1995</v>
      </c>
      <c r="B18" s="1">
        <v>3.79</v>
      </c>
      <c r="C18" s="1">
        <f t="shared" si="0"/>
        <v>5.2249999999999996</v>
      </c>
      <c r="D18" s="1">
        <f t="shared" si="4"/>
        <v>5.4480000000000004</v>
      </c>
      <c r="E18" s="6">
        <f t="shared" si="1"/>
        <v>5.2255396239273253</v>
      </c>
      <c r="F18" s="6">
        <f t="shared" si="2"/>
        <v>4.9797167968749996</v>
      </c>
      <c r="G18" s="6">
        <f t="shared" si="3"/>
        <v>4.4400350757129488</v>
      </c>
    </row>
    <row r="19" spans="1:7" x14ac:dyDescent="0.25">
      <c r="A19" s="1">
        <v>1996</v>
      </c>
      <c r="B19" s="1">
        <v>7.25</v>
      </c>
      <c r="C19" s="1">
        <f t="shared" si="0"/>
        <v>5.52</v>
      </c>
      <c r="D19" s="1">
        <f t="shared" si="4"/>
        <v>5.1880000000000006</v>
      </c>
      <c r="E19" s="6">
        <f t="shared" si="1"/>
        <v>5.731654717945494</v>
      </c>
      <c r="F19" s="6">
        <f t="shared" si="2"/>
        <v>6.1148583984374998</v>
      </c>
      <c r="G19" s="6">
        <f t="shared" si="3"/>
        <v>6.5475087689282372</v>
      </c>
    </row>
    <row r="20" spans="1:7" x14ac:dyDescent="0.25">
      <c r="A20" s="1">
        <v>1997</v>
      </c>
      <c r="B20" s="1">
        <v>4.01</v>
      </c>
      <c r="C20" s="1">
        <f t="shared" si="0"/>
        <v>5.63</v>
      </c>
      <c r="D20" s="1">
        <f t="shared" si="4"/>
        <v>4.718</v>
      </c>
      <c r="E20" s="6">
        <f t="shared" si="1"/>
        <v>5.3012410384591195</v>
      </c>
      <c r="F20" s="6">
        <f t="shared" si="2"/>
        <v>5.0624291992187498</v>
      </c>
      <c r="G20" s="6">
        <f t="shared" si="3"/>
        <v>4.6443771922320591</v>
      </c>
    </row>
    <row r="21" spans="1:7" x14ac:dyDescent="0.25">
      <c r="A21" s="1">
        <v>1998</v>
      </c>
      <c r="B21" s="1">
        <v>4.2300000000000004</v>
      </c>
      <c r="C21" s="1">
        <f t="shared" si="0"/>
        <v>4.12</v>
      </c>
      <c r="D21" s="1">
        <f t="shared" si="4"/>
        <v>4.6379999999999999</v>
      </c>
      <c r="E21" s="6">
        <f t="shared" si="1"/>
        <v>5.0334307788443393</v>
      </c>
      <c r="F21" s="6">
        <f t="shared" si="2"/>
        <v>4.6462145996093751</v>
      </c>
      <c r="G21" s="6">
        <f t="shared" si="3"/>
        <v>4.3335942980580153</v>
      </c>
    </row>
    <row r="22" spans="1:7" x14ac:dyDescent="0.25">
      <c r="A22" s="1">
        <v>1999</v>
      </c>
      <c r="B22" s="1">
        <v>4.3099999999999996</v>
      </c>
      <c r="C22" s="1">
        <f t="shared" si="0"/>
        <v>4.2699999999999996</v>
      </c>
      <c r="D22" s="1">
        <f t="shared" si="4"/>
        <v>3.6479999999999997</v>
      </c>
      <c r="E22" s="6">
        <f t="shared" si="1"/>
        <v>4.8525730841332546</v>
      </c>
      <c r="F22" s="6">
        <f t="shared" si="2"/>
        <v>4.4781072998046874</v>
      </c>
      <c r="G22" s="6">
        <f t="shared" si="3"/>
        <v>4.3158985745145042</v>
      </c>
    </row>
    <row r="23" spans="1:7" x14ac:dyDescent="0.25">
      <c r="A23" s="1">
        <v>2000</v>
      </c>
      <c r="B23" s="1">
        <v>3.39</v>
      </c>
      <c r="C23" s="1">
        <f t="shared" si="0"/>
        <v>3.8499999999999996</v>
      </c>
      <c r="D23" s="1">
        <f t="shared" si="4"/>
        <v>3.464</v>
      </c>
      <c r="E23" s="6">
        <f t="shared" si="1"/>
        <v>4.4869298130999411</v>
      </c>
      <c r="F23" s="6">
        <f t="shared" si="2"/>
        <v>3.934053649902344</v>
      </c>
      <c r="G23" s="6">
        <f t="shared" si="3"/>
        <v>3.621474643628626</v>
      </c>
    </row>
    <row r="24" spans="1:7" x14ac:dyDescent="0.25">
      <c r="A24" s="1">
        <v>2001</v>
      </c>
      <c r="B24" s="1">
        <v>2.2999999999999998</v>
      </c>
      <c r="C24" s="1">
        <f t="shared" si="0"/>
        <v>2.8449999999999998</v>
      </c>
      <c r="D24" s="1"/>
      <c r="E24" s="6">
        <f t="shared" si="1"/>
        <v>3.940197359824956</v>
      </c>
      <c r="F24" s="6">
        <f t="shared" si="2"/>
        <v>3.1170268249511719</v>
      </c>
      <c r="G24" s="6">
        <f t="shared" si="3"/>
        <v>2.6303686609071564</v>
      </c>
    </row>
    <row r="25" spans="1:7" x14ac:dyDescent="0.25">
      <c r="A25" s="1">
        <v>2002</v>
      </c>
      <c r="B25" s="1">
        <v>3.09</v>
      </c>
      <c r="C25" s="1">
        <f t="shared" si="0"/>
        <v>2.6949999999999998</v>
      </c>
      <c r="D25" s="1"/>
      <c r="E25" s="6">
        <f t="shared" si="1"/>
        <v>3.7276480198687167</v>
      </c>
      <c r="F25" s="6">
        <f t="shared" si="2"/>
        <v>3.1035134124755857</v>
      </c>
      <c r="G25" s="6">
        <f t="shared" si="3"/>
        <v>2.9750921652267888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2025-06-08T18:30:30Z</dcterms:created>
  <dcterms:modified xsi:type="dcterms:W3CDTF">2025-06-08T18:51:42Z</dcterms:modified>
</cp:coreProperties>
</file>