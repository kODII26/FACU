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6b\"/>
    </mc:Choice>
  </mc:AlternateContent>
  <xr:revisionPtr revIDLastSave="0" documentId="8_{6290DA43-5BA5-4680-9E03-6F25D956BCEE}" xr6:coauthVersionLast="47" xr6:coauthVersionMax="47" xr10:uidLastSave="{00000000-0000-0000-0000-000000000000}"/>
  <bookViews>
    <workbookView xWindow="-120" yWindow="-120" windowWidth="29040" windowHeight="15840" xr2:uid="{32A7E7F6-8C5D-4E3E-95AC-90008439C0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  <c r="D7" i="1"/>
  <c r="D6" i="1"/>
  <c r="D5" i="1"/>
  <c r="D4" i="1"/>
  <c r="D3" i="1"/>
  <c r="D1" i="1"/>
  <c r="D2" i="1" s="1"/>
</calcChain>
</file>

<file path=xl/sharedStrings.xml><?xml version="1.0" encoding="utf-8"?>
<sst xmlns="http://schemas.openxmlformats.org/spreadsheetml/2006/main" count="14" uniqueCount="14">
  <si>
    <t>media muestral</t>
  </si>
  <si>
    <t>tamaño muestra</t>
  </si>
  <si>
    <t>nivel de confianza</t>
  </si>
  <si>
    <t>alfa</t>
  </si>
  <si>
    <t>alfa/2</t>
  </si>
  <si>
    <t>calculo z formula tabla</t>
  </si>
  <si>
    <t>error estandar</t>
  </si>
  <si>
    <t>desvio estandar</t>
  </si>
  <si>
    <t>margen de error</t>
  </si>
  <si>
    <t>limite inferior</t>
  </si>
  <si>
    <t>limite superior</t>
  </si>
  <si>
    <t>error maximo deseado</t>
  </si>
  <si>
    <t>n calculado</t>
  </si>
  <si>
    <t>n redondeado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</si>
</sst>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6FBA-4278-40C8-B3BA-467E0C463976}">
  <dimension ref="A1:H7"/>
  <sheetViews>
    <sheetView tabSelected="1" workbookViewId="0">
      <selection activeCell="E13" sqref="E13"/>
    </sheetView>
  </sheetViews>
  <sheetFormatPr baseColWidth="10" defaultRowHeight="15" x14ac:dyDescent="0.25"/>
  <cols>
    <col min="1" max="1" width="17.85546875" customWidth="1"/>
    <col min="3" max="3" width="24.42578125" customWidth="1"/>
    <col min="5" max="5" width="22" customWidth="1"/>
  </cols>
  <sheetData>
    <row r="1" spans="1:8" x14ac:dyDescent="0.25">
      <c r="A1" s="1" t="s">
        <v>0</v>
      </c>
      <c r="B1" s="5">
        <v>7.54</v>
      </c>
      <c r="C1" s="2" t="s">
        <v>3</v>
      </c>
      <c r="D1" s="3">
        <f>1-B4</f>
        <v>5.0000000000000044E-2</v>
      </c>
      <c r="E1" s="2" t="s">
        <v>11</v>
      </c>
      <c r="F1" s="3">
        <v>0.05</v>
      </c>
    </row>
    <row r="2" spans="1:8" x14ac:dyDescent="0.25">
      <c r="A2" s="1" t="s">
        <v>7</v>
      </c>
      <c r="B2" s="5">
        <v>0.09</v>
      </c>
      <c r="C2" s="2" t="s">
        <v>4</v>
      </c>
      <c r="D2" s="3">
        <f>D1/2</f>
        <v>2.5000000000000022E-2</v>
      </c>
      <c r="E2" s="2" t="s">
        <v>12</v>
      </c>
      <c r="F2" s="3">
        <f>((D3*B2)/F1)^2</f>
        <v>12.446326579048959</v>
      </c>
    </row>
    <row r="3" spans="1:8" x14ac:dyDescent="0.25">
      <c r="A3" s="1" t="s">
        <v>1</v>
      </c>
      <c r="B3" s="5">
        <v>5</v>
      </c>
      <c r="C3" s="2" t="s">
        <v>5</v>
      </c>
      <c r="D3" s="3">
        <f>_xlfn.NORM.S.INV(1-0.05/2)</f>
        <v>1.9599639845400536</v>
      </c>
      <c r="E3" s="2" t="s">
        <v>13</v>
      </c>
      <c r="F3" s="3">
        <f>ROUNDUP(F2,0)</f>
        <v>13</v>
      </c>
    </row>
    <row r="4" spans="1:8" x14ac:dyDescent="0.25">
      <c r="A4" s="1" t="s">
        <v>2</v>
      </c>
      <c r="B4" s="5">
        <v>0.95</v>
      </c>
      <c r="C4" s="2" t="s">
        <v>6</v>
      </c>
      <c r="D4" s="3">
        <f>B2/SQRT(B3)</f>
        <v>4.0249223594996213E-2</v>
      </c>
    </row>
    <row r="5" spans="1:8" x14ac:dyDescent="0.25">
      <c r="C5" s="2" t="s">
        <v>8</v>
      </c>
      <c r="D5" s="3">
        <f>D4*D3</f>
        <v>7.8887028651892316E-2</v>
      </c>
      <c r="E5" s="3"/>
    </row>
    <row r="6" spans="1:8" x14ac:dyDescent="0.25">
      <c r="C6" s="2" t="s">
        <v>9</v>
      </c>
      <c r="D6" s="4">
        <f>B1-D5</f>
        <v>7.4611129713481077</v>
      </c>
    </row>
    <row r="7" spans="1:8" x14ac:dyDescent="0.25">
      <c r="C7" s="2" t="s">
        <v>10</v>
      </c>
      <c r="D7" s="4">
        <f>B1+D5</f>
        <v>7.6188870286518924</v>
      </c>
      <c r="H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2025-06-05T12:06:46Z</dcterms:created>
  <dcterms:modified xsi:type="dcterms:W3CDTF">2025-06-05T12:59:26Z</dcterms:modified>
</cp:coreProperties>
</file>