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sto\Desktop\FACU\3er año\1er cuatri\estadistica\2do parcial\guia 6b\"/>
    </mc:Choice>
  </mc:AlternateContent>
  <xr:revisionPtr revIDLastSave="0" documentId="8_{CB977466-4603-4815-8AC7-BB21E6F9392A}" xr6:coauthVersionLast="47" xr6:coauthVersionMax="47" xr10:uidLastSave="{00000000-0000-0000-0000-000000000000}"/>
  <bookViews>
    <workbookView xWindow="-120" yWindow="-120" windowWidth="29040" windowHeight="15840" xr2:uid="{48839F61-3E67-4027-9FC1-B1CD92E31FA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1" l="1"/>
  <c r="D5" i="1"/>
  <c r="B2" i="1"/>
  <c r="D4" i="1"/>
  <c r="D2" i="1"/>
  <c r="D1" i="1"/>
</calcChain>
</file>

<file path=xl/sharedStrings.xml><?xml version="1.0" encoding="utf-8"?>
<sst xmlns="http://schemas.openxmlformats.org/spreadsheetml/2006/main" count="8" uniqueCount="8">
  <si>
    <t>nivel confianza</t>
  </si>
  <si>
    <t>alfa</t>
  </si>
  <si>
    <t>alfa / 2</t>
  </si>
  <si>
    <t xml:space="preserve">margen error </t>
  </si>
  <si>
    <t>calculo z</t>
  </si>
  <si>
    <t>calculo n</t>
  </si>
  <si>
    <t>proporcion</t>
  </si>
  <si>
    <t>redondeo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</si>
</sst>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16A7A-2311-451D-B6E1-F3972E307BAF}">
  <dimension ref="A1:D6"/>
  <sheetViews>
    <sheetView tabSelected="1" workbookViewId="0">
      <selection activeCell="D6" sqref="D6"/>
    </sheetView>
  </sheetViews>
  <sheetFormatPr baseColWidth="10" defaultRowHeight="15" x14ac:dyDescent="0.25"/>
  <cols>
    <col min="1" max="1" width="21.140625" customWidth="1"/>
    <col min="3" max="3" width="22.42578125" customWidth="1"/>
    <col min="4" max="4" width="11.7109375" bestFit="1" customWidth="1"/>
  </cols>
  <sheetData>
    <row r="1" spans="1:4" x14ac:dyDescent="0.25">
      <c r="A1" t="s">
        <v>0</v>
      </c>
      <c r="B1">
        <v>0.95</v>
      </c>
      <c r="C1" t="s">
        <v>1</v>
      </c>
      <c r="D1">
        <f>1-B1</f>
        <v>5.0000000000000044E-2</v>
      </c>
    </row>
    <row r="2" spans="1:4" x14ac:dyDescent="0.25">
      <c r="A2" t="s">
        <v>6</v>
      </c>
      <c r="B2">
        <f>340/500</f>
        <v>0.68</v>
      </c>
      <c r="C2" t="s">
        <v>2</v>
      </c>
      <c r="D2">
        <f>D1/2</f>
        <v>2.5000000000000022E-2</v>
      </c>
    </row>
    <row r="3" spans="1:4" x14ac:dyDescent="0.25">
      <c r="C3" t="s">
        <v>3</v>
      </c>
      <c r="D3">
        <v>0.02</v>
      </c>
    </row>
    <row r="4" spans="1:4" x14ac:dyDescent="0.25">
      <c r="C4" t="s">
        <v>4</v>
      </c>
      <c r="D4">
        <f>_xlfn.NORM.S.INV(1-D2)</f>
        <v>1.9599639845400536</v>
      </c>
    </row>
    <row r="5" spans="1:4" x14ac:dyDescent="0.25">
      <c r="C5" t="s">
        <v>5</v>
      </c>
      <c r="D5">
        <f>(D4^2*B2*(1-B2))/D3^2</f>
        <v>2089.7535984576029</v>
      </c>
    </row>
    <row r="6" spans="1:4" x14ac:dyDescent="0.25">
      <c r="C6" t="s">
        <v>7</v>
      </c>
      <c r="D6" s="1">
        <f>ROUNDUP(D5,0)</f>
        <v>2090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justo</dc:creator>
  <cp:lastModifiedBy>justo</cp:lastModifiedBy>
  <dcterms:created xsi:type="dcterms:W3CDTF">2025-06-05T14:48:14Z</dcterms:created>
  <dcterms:modified xsi:type="dcterms:W3CDTF">2025-06-05T14:55:13Z</dcterms:modified>
</cp:coreProperties>
</file>