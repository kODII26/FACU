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o\Desktop\FACU\3er año\1er cuatri\estadistica\2do parcial\guia 6b\"/>
    </mc:Choice>
  </mc:AlternateContent>
  <xr:revisionPtr revIDLastSave="0" documentId="8_{A8CFA632-7A8A-45B4-BF6C-8A4B8CBF2CFA}" xr6:coauthVersionLast="47" xr6:coauthVersionMax="47" xr10:uidLastSave="{00000000-0000-0000-0000-000000000000}"/>
  <bookViews>
    <workbookView xWindow="-120" yWindow="-120" windowWidth="29040" windowHeight="15840" xr2:uid="{D75B0B65-47C1-428C-A3C3-07E3FC1A79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J22" i="1"/>
  <c r="G22" i="1"/>
  <c r="D22" i="1"/>
  <c r="D21" i="1"/>
  <c r="D27" i="1"/>
  <c r="D26" i="1"/>
  <c r="G21" i="1"/>
</calcChain>
</file>

<file path=xl/sharedStrings.xml><?xml version="1.0" encoding="utf-8"?>
<sst xmlns="http://schemas.openxmlformats.org/spreadsheetml/2006/main" count="59" uniqueCount="31">
  <si>
    <t>Columna1</t>
  </si>
  <si>
    <t>Nivel de confianza(90,0%)</t>
  </si>
  <si>
    <t>Nivel de confianza(95,0%)</t>
  </si>
  <si>
    <t>Nivel de confianza(99,0%)</t>
  </si>
  <si>
    <t>IC PARA MEDIAS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</si>
  <si>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</si>
  <si>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</si>
  <si>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</si>
  <si>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</si>
  <si>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</si>
  <si>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</si>
  <si>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</si>
  <si>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</si>
  <si>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</si>
  <si>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</si>
  <si>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</si>
  <si>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</si>
  <si>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</si>
  <si>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superior 95</t>
  </si>
  <si>
    <t>chi2 inf</t>
  </si>
  <si>
    <t>chi2 sup</t>
  </si>
  <si>
    <t>superior 90</t>
  </si>
  <si>
    <t>inferior 90</t>
  </si>
  <si>
    <t>superior 99</t>
  </si>
  <si>
    <t>inferior 99</t>
  </si>
  <si>
    <t>inferior 95</t>
  </si>
  <si>
    <t>PARA 90: 0,95 Y 0,05</t>
  </si>
  <si>
    <t>PARA 95: 0,975 Y 0,025</t>
  </si>
  <si>
    <t>PARA 99: 0,995 Y 0,005</t>
  </si>
  <si>
    <t>&lt;- COMANDO YA PUESTO</t>
  </si>
  <si>
    <t>(ASI LO TENES Q HACER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</si>
</sst>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13</xdr:col>
      <xdr:colOff>304800</xdr:colOff>
      <xdr:row>4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3F2ADA2-46C3-026F-92A5-B2ACBB1B4445}"/>
            </a:ext>
          </a:extLst>
        </xdr:cNvPr>
        <xdr:cNvSpPr>
          <a:spLocks noChangeAspect="1" noChangeArrowheads="1"/>
        </xdr:cNvSpPr>
      </xdr:nvSpPr>
      <xdr:spPr bwMode="auto">
        <a:xfrm>
          <a:off x="9877425" y="58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304800</xdr:colOff>
      <xdr:row>4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4C3B7241-3F13-129B-3A83-7900D15CE6E3}"/>
            </a:ext>
          </a:extLst>
        </xdr:cNvPr>
        <xdr:cNvSpPr>
          <a:spLocks noChangeAspect="1" noChangeArrowheads="1"/>
        </xdr:cNvSpPr>
      </xdr:nvSpPr>
      <xdr:spPr bwMode="auto">
        <a:xfrm>
          <a:off x="9877425" y="58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304800</xdr:colOff>
      <xdr:row>4</xdr:row>
      <xdr:rowOff>114300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9F46DABA-B019-0D30-02E2-2AA3AED943EE}"/>
            </a:ext>
          </a:extLst>
        </xdr:cNvPr>
        <xdr:cNvSpPr>
          <a:spLocks noChangeAspect="1" noChangeArrowheads="1"/>
        </xdr:cNvSpPr>
      </xdr:nvSpPr>
      <xdr:spPr bwMode="auto">
        <a:xfrm>
          <a:off x="9115425" y="58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352425</xdr:colOff>
      <xdr:row>1</xdr:row>
      <xdr:rowOff>38101</xdr:rowOff>
    </xdr:from>
    <xdr:to>
      <xdr:col>20</xdr:col>
      <xdr:colOff>466725</xdr:colOff>
      <xdr:row>27</xdr:row>
      <xdr:rowOff>3387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E2BDF8-98D0-C898-1E92-E1D60543B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67850" y="228601"/>
          <a:ext cx="6210300" cy="49373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C6A7-B442-4E10-A188-F4E0E5402E68}">
  <dimension ref="A1:K40"/>
  <sheetViews>
    <sheetView tabSelected="1" workbookViewId="0">
      <selection activeCell="K25" sqref="K25"/>
    </sheetView>
  </sheetViews>
  <sheetFormatPr baseColWidth="10" defaultColWidth="11.42578125" defaultRowHeight="15" x14ac:dyDescent="0.25"/>
  <cols>
    <col min="3" max="3" width="11" customWidth="1"/>
  </cols>
  <sheetData>
    <row r="1" spans="1:10" x14ac:dyDescent="0.25">
      <c r="A1">
        <v>1027</v>
      </c>
    </row>
    <row r="2" spans="1:10" x14ac:dyDescent="0.25">
      <c r="A2">
        <v>1023</v>
      </c>
      <c r="C2" t="s">
        <v>4</v>
      </c>
    </row>
    <row r="3" spans="1:10" ht="15.75" thickBot="1" x14ac:dyDescent="0.3">
      <c r="A3">
        <v>904</v>
      </c>
    </row>
    <row r="4" spans="1:10" x14ac:dyDescent="0.25">
      <c r="A4">
        <v>984</v>
      </c>
      <c r="C4" s="3" t="s">
        <v>0</v>
      </c>
      <c r="D4" s="3"/>
      <c r="F4" s="3" t="s">
        <v>0</v>
      </c>
      <c r="G4" s="3"/>
      <c r="I4" s="3" t="s">
        <v>0</v>
      </c>
      <c r="J4" s="3"/>
    </row>
    <row r="5" spans="1:10" x14ac:dyDescent="0.25">
      <c r="A5">
        <v>1369</v>
      </c>
      <c r="C5" s="1"/>
      <c r="D5" s="1"/>
      <c r="F5" s="1"/>
      <c r="G5" s="1"/>
      <c r="I5" s="1"/>
      <c r="J5" s="1"/>
    </row>
    <row r="6" spans="1:10" x14ac:dyDescent="0.25">
      <c r="A6">
        <v>950</v>
      </c>
      <c r="C6" s="1" t="s">
        <v>5</v>
      </c>
      <c r="D6" s="1">
        <v>1025.4000000000001</v>
      </c>
      <c r="F6" s="1" t="s">
        <v>5</v>
      </c>
      <c r="G6" s="1">
        <v>1025.4000000000001</v>
      </c>
      <c r="I6" s="1" t="s">
        <v>5</v>
      </c>
      <c r="J6" s="1">
        <v>1025.4000000000001</v>
      </c>
    </row>
    <row r="7" spans="1:10" x14ac:dyDescent="0.25">
      <c r="A7">
        <v>1067</v>
      </c>
      <c r="C7" s="1" t="s">
        <v>6</v>
      </c>
      <c r="D7" s="1">
        <v>33.906182780862132</v>
      </c>
      <c r="F7" s="1" t="s">
        <v>6</v>
      </c>
      <c r="G7" s="1">
        <v>33.906182780862132</v>
      </c>
      <c r="I7" s="1" t="s">
        <v>6</v>
      </c>
      <c r="J7" s="1">
        <v>33.906182780862132</v>
      </c>
    </row>
    <row r="8" spans="1:10" x14ac:dyDescent="0.25">
      <c r="A8">
        <v>570</v>
      </c>
      <c r="C8" s="1" t="s">
        <v>7</v>
      </c>
      <c r="D8" s="1">
        <v>1024</v>
      </c>
      <c r="F8" s="1" t="s">
        <v>7</v>
      </c>
      <c r="G8" s="1">
        <v>1024</v>
      </c>
      <c r="I8" s="1" t="s">
        <v>7</v>
      </c>
      <c r="J8" s="1">
        <v>1024</v>
      </c>
    </row>
    <row r="9" spans="1:10" x14ac:dyDescent="0.25">
      <c r="A9">
        <v>1436</v>
      </c>
      <c r="C9" s="1" t="s">
        <v>8</v>
      </c>
      <c r="D9" s="1">
        <v>950</v>
      </c>
      <c r="F9" s="1" t="s">
        <v>8</v>
      </c>
      <c r="G9" s="1">
        <v>950</v>
      </c>
      <c r="I9" s="1" t="s">
        <v>8</v>
      </c>
      <c r="J9" s="1">
        <v>950</v>
      </c>
    </row>
    <row r="10" spans="1:10" x14ac:dyDescent="0.25">
      <c r="A10">
        <v>1063</v>
      </c>
      <c r="C10" s="1" t="s">
        <v>9</v>
      </c>
      <c r="D10" s="1">
        <v>214.4415286990122</v>
      </c>
      <c r="F10" s="1" t="s">
        <v>9</v>
      </c>
      <c r="G10" s="1">
        <v>214.4415286990122</v>
      </c>
      <c r="I10" s="1" t="s">
        <v>9</v>
      </c>
      <c r="J10" s="1">
        <v>214.4415286990122</v>
      </c>
    </row>
    <row r="11" spans="1:10" x14ac:dyDescent="0.25">
      <c r="A11">
        <v>957</v>
      </c>
      <c r="C11" s="1" t="s">
        <v>10</v>
      </c>
      <c r="D11" s="1">
        <v>45985.169230769301</v>
      </c>
      <c r="F11" s="1" t="s">
        <v>10</v>
      </c>
      <c r="G11" s="1">
        <v>45985.169230769272</v>
      </c>
      <c r="I11" s="1" t="s">
        <v>10</v>
      </c>
      <c r="J11" s="1">
        <v>45985.169230769272</v>
      </c>
    </row>
    <row r="12" spans="1:10" x14ac:dyDescent="0.25">
      <c r="A12">
        <v>1307</v>
      </c>
      <c r="C12" s="1" t="s">
        <v>11</v>
      </c>
      <c r="D12" s="1">
        <v>0.10561611254774261</v>
      </c>
      <c r="F12" s="1" t="s">
        <v>11</v>
      </c>
      <c r="G12" s="1">
        <v>0.10561611254774261</v>
      </c>
      <c r="I12" s="1" t="s">
        <v>11</v>
      </c>
      <c r="J12" s="1">
        <v>0.10561611254774261</v>
      </c>
    </row>
    <row r="13" spans="1:10" x14ac:dyDescent="0.25">
      <c r="A13">
        <v>634</v>
      </c>
      <c r="C13" s="1" t="s">
        <v>12</v>
      </c>
      <c r="D13" s="1">
        <v>-0.10872168998751067</v>
      </c>
      <c r="F13" s="1" t="s">
        <v>12</v>
      </c>
      <c r="G13" s="1">
        <v>-0.10872168998751067</v>
      </c>
      <c r="I13" s="1" t="s">
        <v>12</v>
      </c>
      <c r="J13" s="1">
        <v>-0.10872168998751067</v>
      </c>
    </row>
    <row r="14" spans="1:10" x14ac:dyDescent="0.25">
      <c r="A14">
        <v>1212</v>
      </c>
      <c r="C14" s="1" t="s">
        <v>13</v>
      </c>
      <c r="D14" s="1">
        <v>866</v>
      </c>
      <c r="F14" s="1" t="s">
        <v>13</v>
      </c>
      <c r="G14" s="1">
        <v>866</v>
      </c>
      <c r="I14" s="1" t="s">
        <v>13</v>
      </c>
      <c r="J14" s="1">
        <v>866</v>
      </c>
    </row>
    <row r="15" spans="1:10" x14ac:dyDescent="0.25">
      <c r="A15">
        <v>821</v>
      </c>
      <c r="C15" s="1" t="s">
        <v>14</v>
      </c>
      <c r="D15" s="1">
        <v>570</v>
      </c>
      <c r="F15" s="1" t="s">
        <v>14</v>
      </c>
      <c r="G15" s="1">
        <v>570</v>
      </c>
      <c r="I15" s="1" t="s">
        <v>14</v>
      </c>
      <c r="J15" s="1">
        <v>570</v>
      </c>
    </row>
    <row r="16" spans="1:10" x14ac:dyDescent="0.25">
      <c r="A16">
        <v>882</v>
      </c>
      <c r="C16" s="1" t="s">
        <v>15</v>
      </c>
      <c r="D16" s="1">
        <v>1436</v>
      </c>
      <c r="F16" s="1" t="s">
        <v>15</v>
      </c>
      <c r="G16" s="1">
        <v>1436</v>
      </c>
      <c r="I16" s="1" t="s">
        <v>15</v>
      </c>
      <c r="J16" s="1">
        <v>1436</v>
      </c>
    </row>
    <row r="17" spans="1:11" x14ac:dyDescent="0.25">
      <c r="A17">
        <v>1045</v>
      </c>
      <c r="C17" s="1" t="s">
        <v>16</v>
      </c>
      <c r="D17" s="1">
        <v>41016</v>
      </c>
      <c r="F17" s="1" t="s">
        <v>16</v>
      </c>
      <c r="G17" s="1">
        <v>41016</v>
      </c>
      <c r="I17" s="1" t="s">
        <v>16</v>
      </c>
      <c r="J17" s="1">
        <v>41016</v>
      </c>
    </row>
    <row r="18" spans="1:11" x14ac:dyDescent="0.25">
      <c r="A18">
        <v>1047</v>
      </c>
      <c r="C18" s="1" t="s">
        <v>17</v>
      </c>
      <c r="D18" s="1">
        <v>40</v>
      </c>
      <c r="F18" s="1" t="s">
        <v>17</v>
      </c>
      <c r="G18" s="1">
        <v>40</v>
      </c>
      <c r="I18" s="1" t="s">
        <v>17</v>
      </c>
      <c r="J18" s="1">
        <v>40</v>
      </c>
    </row>
    <row r="19" spans="1:11" ht="15.75" thickBot="1" x14ac:dyDescent="0.3">
      <c r="A19">
        <v>942</v>
      </c>
      <c r="C19" s="2" t="s">
        <v>1</v>
      </c>
      <c r="D19" s="2">
        <v>57.127683839668116</v>
      </c>
      <c r="F19" s="2" t="s">
        <v>2</v>
      </c>
      <c r="G19" s="2">
        <v>68.581728043956559</v>
      </c>
      <c r="I19" s="2" t="s">
        <v>3</v>
      </c>
      <c r="J19" s="2">
        <v>91.814999355056088</v>
      </c>
    </row>
    <row r="20" spans="1:11" x14ac:dyDescent="0.25">
      <c r="A20">
        <v>1178</v>
      </c>
    </row>
    <row r="21" spans="1:11" x14ac:dyDescent="0.25">
      <c r="A21">
        <v>1025</v>
      </c>
      <c r="C21" t="s">
        <v>21</v>
      </c>
      <c r="D21">
        <f>(39*D11)/D27</f>
        <v>69795.460279509163</v>
      </c>
      <c r="F21" t="s">
        <v>18</v>
      </c>
      <c r="G21">
        <f>(39*D11)/23.654</f>
        <v>75818.956624672472</v>
      </c>
      <c r="I21" t="s">
        <v>23</v>
      </c>
      <c r="J21">
        <f>(39*J11)/_xlfn.CHISQ.INV(0.005,39)</f>
        <v>89689.610434271715</v>
      </c>
      <c r="K21" t="s">
        <v>29</v>
      </c>
    </row>
    <row r="22" spans="1:11" x14ac:dyDescent="0.25">
      <c r="A22">
        <v>1021</v>
      </c>
      <c r="C22" t="s">
        <v>22</v>
      </c>
      <c r="D22">
        <f>(39*D11)/D26</f>
        <v>32863.265320997431</v>
      </c>
      <c r="F22" t="s">
        <v>25</v>
      </c>
      <c r="G22">
        <f>(39*G11)/_xlfn.CHISQ.INV(0.975,39)</f>
        <v>30857.187831307074</v>
      </c>
      <c r="I22" t="s">
        <v>24</v>
      </c>
      <c r="J22">
        <f>(39*J11)/_xlfn.CHISQ.INV(0.995,39)</f>
        <v>27390.698168085917</v>
      </c>
      <c r="K22" t="s">
        <v>30</v>
      </c>
    </row>
    <row r="23" spans="1:11" x14ac:dyDescent="0.25">
      <c r="A23">
        <v>906</v>
      </c>
    </row>
    <row r="24" spans="1:11" x14ac:dyDescent="0.25">
      <c r="A24">
        <v>986</v>
      </c>
    </row>
    <row r="25" spans="1:11" x14ac:dyDescent="0.25">
      <c r="A25">
        <v>1371</v>
      </c>
    </row>
    <row r="26" spans="1:11" x14ac:dyDescent="0.25">
      <c r="A26">
        <v>953</v>
      </c>
      <c r="C26" t="s">
        <v>19</v>
      </c>
      <c r="D26">
        <f>_xlfn.CHISQ.INV(0.95,39)</f>
        <v>54.572227758941722</v>
      </c>
    </row>
    <row r="27" spans="1:11" x14ac:dyDescent="0.25">
      <c r="A27">
        <v>1077</v>
      </c>
      <c r="C27" t="s">
        <v>20</v>
      </c>
      <c r="D27">
        <f>_xlfn.CHISQ.INV(0.05,39)</f>
        <v>25.69539039957478</v>
      </c>
    </row>
    <row r="28" spans="1:11" x14ac:dyDescent="0.25">
      <c r="A28">
        <v>580</v>
      </c>
    </row>
    <row r="29" spans="1:11" x14ac:dyDescent="0.25">
      <c r="A29">
        <v>1430</v>
      </c>
      <c r="C29" s="4" t="s">
        <v>26</v>
      </c>
      <c r="D29" s="4"/>
      <c r="F29" s="4" t="s">
        <v>27</v>
      </c>
      <c r="G29" s="4"/>
      <c r="I29" s="4" t="s">
        <v>28</v>
      </c>
      <c r="J29" s="4"/>
    </row>
    <row r="30" spans="1:11" x14ac:dyDescent="0.25">
      <c r="A30">
        <v>1053</v>
      </c>
    </row>
    <row r="31" spans="1:11" x14ac:dyDescent="0.25">
      <c r="A31">
        <v>950</v>
      </c>
    </row>
    <row r="32" spans="1:11" x14ac:dyDescent="0.25">
      <c r="A32">
        <v>1300</v>
      </c>
    </row>
    <row r="33" spans="1:1" x14ac:dyDescent="0.25">
      <c r="A33">
        <v>630</v>
      </c>
    </row>
    <row r="34" spans="1:1" x14ac:dyDescent="0.25">
      <c r="A34">
        <v>1202</v>
      </c>
    </row>
    <row r="35" spans="1:1" x14ac:dyDescent="0.25">
      <c r="A35">
        <v>830</v>
      </c>
    </row>
    <row r="36" spans="1:1" x14ac:dyDescent="0.25">
      <c r="A36">
        <v>888</v>
      </c>
    </row>
    <row r="37" spans="1:1" x14ac:dyDescent="0.25">
      <c r="A37">
        <v>1044</v>
      </c>
    </row>
    <row r="38" spans="1:1" x14ac:dyDescent="0.25">
      <c r="A38">
        <v>1124</v>
      </c>
    </row>
    <row r="39" spans="1:1" x14ac:dyDescent="0.25">
      <c r="A39">
        <v>954</v>
      </c>
    </row>
    <row r="40" spans="1:1" x14ac:dyDescent="0.25">
      <c r="A40">
        <v>1274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justo</cp:lastModifiedBy>
  <dcterms:created xsi:type="dcterms:W3CDTF">2025-06-04T15:19:17Z</dcterms:created>
  <dcterms:modified xsi:type="dcterms:W3CDTF">2025-06-04T16:04:24Z</dcterms:modified>
</cp:coreProperties>
</file>