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103C7379-31AA-44C1-8151-5451E12A401A}" xr6:coauthVersionLast="47" xr6:coauthVersionMax="47" xr10:uidLastSave="{00000000-0000-0000-0000-000000000000}"/>
  <bookViews>
    <workbookView xWindow="-120" yWindow="-120" windowWidth="29040" windowHeight="15840" xr2:uid="{32D34DAA-644F-47DC-87DD-BAF5E5335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7" i="1" s="1"/>
  <c r="B4" i="1"/>
  <c r="D4" i="1"/>
  <c r="D3" i="1"/>
  <c r="D2" i="1"/>
  <c r="D1" i="1"/>
  <c r="B3" i="1"/>
  <c r="B1" i="1"/>
  <c r="D6" i="1" l="1"/>
</calcChain>
</file>

<file path=xl/sharedStrings.xml><?xml version="1.0" encoding="utf-8"?>
<sst xmlns="http://schemas.openxmlformats.org/spreadsheetml/2006/main" count="11" uniqueCount="11">
  <si>
    <t>proporcion 1 actual</t>
  </si>
  <si>
    <t>proporcion 2 nueva</t>
  </si>
  <si>
    <t xml:space="preserve">nivel confianza </t>
  </si>
  <si>
    <t>alfa</t>
  </si>
  <si>
    <t>alfa / 2</t>
  </si>
  <si>
    <t>calculo z (valor critico)</t>
  </si>
  <si>
    <t>calculo sp</t>
  </si>
  <si>
    <t>diferencia proporciones</t>
  </si>
  <si>
    <t>limite inferior</t>
  </si>
  <si>
    <t>limite superior</t>
  </si>
  <si>
    <t>margen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</si>
</sst>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2</xdr:row>
      <xdr:rowOff>95250</xdr:rowOff>
    </xdr:from>
    <xdr:to>
      <xdr:col>11</xdr:col>
      <xdr:colOff>609102</xdr:colOff>
      <xdr:row>7</xdr:row>
      <xdr:rowOff>171321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AB2936-8D54-FDE6-FC27-9C9627C93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7525" y="476250"/>
          <a:ext cx="3980952" cy="1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AEBF-5A67-4EF8-B41D-223C90978991}">
  <dimension ref="A1:D7"/>
  <sheetViews>
    <sheetView tabSelected="1" workbookViewId="0">
      <selection activeCell="D3" sqref="D3"/>
    </sheetView>
  </sheetViews>
  <sheetFormatPr baseColWidth="10" defaultRowHeight="15" x14ac:dyDescent="0.25"/>
  <cols>
    <col min="1" max="1" width="25.140625" customWidth="1"/>
    <col min="3" max="3" width="25.5703125" customWidth="1"/>
  </cols>
  <sheetData>
    <row r="1" spans="1:4" x14ac:dyDescent="0.25">
      <c r="A1" s="2" t="s">
        <v>0</v>
      </c>
      <c r="B1">
        <f>75/1500</f>
        <v>0.05</v>
      </c>
      <c r="C1" s="2" t="s">
        <v>3</v>
      </c>
      <c r="D1">
        <f>1-B5</f>
        <v>5.0000000000000044E-2</v>
      </c>
    </row>
    <row r="2" spans="1:4" x14ac:dyDescent="0.25">
      <c r="A2" s="2"/>
      <c r="C2" s="2" t="s">
        <v>4</v>
      </c>
      <c r="D2">
        <f>D1/2</f>
        <v>2.5000000000000022E-2</v>
      </c>
    </row>
    <row r="3" spans="1:4" x14ac:dyDescent="0.25">
      <c r="A3" s="2" t="s">
        <v>1</v>
      </c>
      <c r="B3">
        <f>80/2000</f>
        <v>0.04</v>
      </c>
      <c r="C3" s="2" t="s">
        <v>5</v>
      </c>
      <c r="D3">
        <f>_xlfn.NORM.S.INV(1-D2)</f>
        <v>1.9599639845400536</v>
      </c>
    </row>
    <row r="4" spans="1:4" x14ac:dyDescent="0.25">
      <c r="A4" s="2" t="s">
        <v>7</v>
      </c>
      <c r="B4">
        <f>B1-B3</f>
        <v>1.0000000000000002E-2</v>
      </c>
      <c r="C4" s="2" t="s">
        <v>6</v>
      </c>
      <c r="D4">
        <f>SQRT((B1*(1-B1))/(1500)+(B3*(1-B3))/2000)</f>
        <v>7.1320871185555964E-3</v>
      </c>
    </row>
    <row r="5" spans="1:4" x14ac:dyDescent="0.25">
      <c r="A5" s="2" t="s">
        <v>2</v>
      </c>
      <c r="B5">
        <v>0.95</v>
      </c>
      <c r="C5" s="2" t="s">
        <v>10</v>
      </c>
      <c r="D5">
        <f>D4*D3</f>
        <v>1.3978633886971016E-2</v>
      </c>
    </row>
    <row r="6" spans="1:4" x14ac:dyDescent="0.25">
      <c r="C6" s="2" t="s">
        <v>8</v>
      </c>
      <c r="D6" s="1">
        <f>B4-D5</f>
        <v>-3.9786338869710145E-3</v>
      </c>
    </row>
    <row r="7" spans="1:4" x14ac:dyDescent="0.25">
      <c r="C7" s="2" t="s">
        <v>9</v>
      </c>
      <c r="D7" s="1">
        <f>B4+D5</f>
        <v>2.3978633886971017E-2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2025-06-05T14:55:15Z</dcterms:created>
  <dcterms:modified xsi:type="dcterms:W3CDTF">2025-06-11T02:59:52Z</dcterms:modified>
</cp:coreProperties>
</file>