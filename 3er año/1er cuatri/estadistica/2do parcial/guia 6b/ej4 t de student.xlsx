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35A94C55-9D5E-40E9-8EE1-DE280DF5441A}" xr6:coauthVersionLast="47" xr6:coauthVersionMax="47" xr10:uidLastSave="{00000000-0000-0000-0000-000000000000}"/>
  <bookViews>
    <workbookView xWindow="-120" yWindow="-120" windowWidth="29040" windowHeight="15840" xr2:uid="{3A9BB3E6-07D2-4413-81BA-A10D11F40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D17" i="1"/>
  <c r="D16" i="1"/>
  <c r="D3" i="1"/>
  <c r="D1" i="1"/>
  <c r="D2" i="1" s="1"/>
  <c r="D4" i="1" l="1"/>
  <c r="D5" i="1" s="1"/>
  <c r="D7" i="1" s="1"/>
  <c r="D6" i="1" l="1"/>
</calcChain>
</file>

<file path=xl/sharedStrings.xml><?xml version="1.0" encoding="utf-8"?>
<sst xmlns="http://schemas.openxmlformats.org/spreadsheetml/2006/main" count="20" uniqueCount="20">
  <si>
    <t>alfa</t>
  </si>
  <si>
    <t>alfa / 2</t>
  </si>
  <si>
    <t>media muestral</t>
  </si>
  <si>
    <t>tamaño muestra</t>
  </si>
  <si>
    <t>nivel confianza</t>
  </si>
  <si>
    <t>error estandar</t>
  </si>
  <si>
    <t>margen error</t>
  </si>
  <si>
    <t>inferior</t>
  </si>
  <si>
    <t>superior</t>
  </si>
  <si>
    <t>calculo t</t>
  </si>
  <si>
    <t>no tenemos el desvio poblacional, tenemos el muestral, por lo tanto no estamos en el primer caso de la tabla sino en el segundo que es t de student y por lo tanto hay que cambiar la funcion para calcular t</t>
  </si>
  <si>
    <t>s2</t>
  </si>
  <si>
    <t>s(desvio muestral)</t>
  </si>
  <si>
    <t>desvio estandar muestral</t>
  </si>
  <si>
    <t>grados libertad</t>
  </si>
  <si>
    <t>limite superior</t>
  </si>
  <si>
    <t>limite inferior</t>
  </si>
  <si>
    <t>VALORES CRITICOS CHI2</t>
  </si>
  <si>
    <t>INTERVALO CONFIANZA VARIANZA</t>
  </si>
  <si>
    <t>INCISO B: 5to caso de la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</si>
</sst>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0D63-12E2-4109-805F-0EAB522EC51D}">
  <dimension ref="A1:F17"/>
  <sheetViews>
    <sheetView tabSelected="1" workbookViewId="0">
      <selection activeCell="E20" sqref="E20"/>
    </sheetView>
  </sheetViews>
  <sheetFormatPr baseColWidth="10" defaultRowHeight="15" x14ac:dyDescent="0.25"/>
  <cols>
    <col min="1" max="1" width="19.85546875" customWidth="1"/>
    <col min="3" max="3" width="24.85546875" customWidth="1"/>
    <col min="4" max="4" width="11.7109375" bestFit="1" customWidth="1"/>
    <col min="6" max="6" width="31.42578125" customWidth="1"/>
  </cols>
  <sheetData>
    <row r="1" spans="1:6" x14ac:dyDescent="0.25">
      <c r="A1" t="s">
        <v>2</v>
      </c>
      <c r="B1">
        <v>0.4</v>
      </c>
      <c r="C1" t="s">
        <v>0</v>
      </c>
      <c r="D1">
        <f>1-B4</f>
        <v>5.0000000000000044E-2</v>
      </c>
    </row>
    <row r="2" spans="1:6" x14ac:dyDescent="0.25">
      <c r="A2" t="s">
        <v>13</v>
      </c>
      <c r="B2">
        <v>0.1</v>
      </c>
      <c r="C2" t="s">
        <v>1</v>
      </c>
      <c r="D2">
        <f>D1/2</f>
        <v>2.5000000000000022E-2</v>
      </c>
    </row>
    <row r="3" spans="1:6" x14ac:dyDescent="0.25">
      <c r="A3" t="s">
        <v>3</v>
      </c>
      <c r="B3">
        <v>10</v>
      </c>
      <c r="C3" t="s">
        <v>5</v>
      </c>
      <c r="D3">
        <f>B2/SQRT(B3)</f>
        <v>3.1622776601683791E-2</v>
      </c>
    </row>
    <row r="4" spans="1:6" x14ac:dyDescent="0.25">
      <c r="A4" t="s">
        <v>4</v>
      </c>
      <c r="B4">
        <v>0.95</v>
      </c>
      <c r="C4" t="s">
        <v>9</v>
      </c>
      <c r="D4">
        <f>TINV(D2,9)</f>
        <v>2.6850108468164544</v>
      </c>
    </row>
    <row r="5" spans="1:6" x14ac:dyDescent="0.25">
      <c r="C5" t="s">
        <v>6</v>
      </c>
      <c r="D5">
        <f>D4*D3</f>
        <v>8.4907498181974558E-2</v>
      </c>
    </row>
    <row r="6" spans="1:6" x14ac:dyDescent="0.25">
      <c r="C6" t="s">
        <v>7</v>
      </c>
      <c r="D6" s="1">
        <f>B1-D5</f>
        <v>0.31509250181802545</v>
      </c>
    </row>
    <row r="7" spans="1:6" x14ac:dyDescent="0.25">
      <c r="C7" t="s">
        <v>8</v>
      </c>
      <c r="D7" s="1">
        <f>B1+D5</f>
        <v>0.48490749818197459</v>
      </c>
    </row>
    <row r="9" spans="1:6" x14ac:dyDescent="0.25">
      <c r="A9" t="s">
        <v>10</v>
      </c>
    </row>
    <row r="11" spans="1:6" x14ac:dyDescent="0.25">
      <c r="A11" t="s">
        <v>19</v>
      </c>
    </row>
    <row r="12" spans="1:6" x14ac:dyDescent="0.25">
      <c r="A12" t="s">
        <v>12</v>
      </c>
      <c r="B12">
        <v>0.1</v>
      </c>
    </row>
    <row r="13" spans="1:6" x14ac:dyDescent="0.25">
      <c r="B13">
        <v>10</v>
      </c>
    </row>
    <row r="14" spans="1:6" x14ac:dyDescent="0.25">
      <c r="A14" t="s">
        <v>11</v>
      </c>
      <c r="B14">
        <v>0.01</v>
      </c>
    </row>
    <row r="15" spans="1:6" x14ac:dyDescent="0.25">
      <c r="A15" t="s">
        <v>14</v>
      </c>
      <c r="B15">
        <v>9</v>
      </c>
      <c r="C15" t="s">
        <v>17</v>
      </c>
      <c r="F15" s="1" t="s">
        <v>18</v>
      </c>
    </row>
    <row r="16" spans="1:6" x14ac:dyDescent="0.25">
      <c r="C16" t="s">
        <v>16</v>
      </c>
      <c r="D16">
        <f>_xlfn.CHISQ.INV(0.975,9)</f>
        <v>19.022767798641627</v>
      </c>
      <c r="F16" s="2">
        <f>(9*B14)/D16</f>
        <v>4.7311727164343923E-3</v>
      </c>
    </row>
    <row r="17" spans="3:6" x14ac:dyDescent="0.25">
      <c r="C17" t="s">
        <v>15</v>
      </c>
      <c r="D17">
        <f>_xlfn.CHISQ.INV.RT(0.975,9)</f>
        <v>2.7003894999803584</v>
      </c>
      <c r="F17" s="2">
        <f>(9*B14)/D17</f>
        <v>3.3328525385191515E-2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2025-06-05T12:59:29Z</dcterms:created>
  <dcterms:modified xsi:type="dcterms:W3CDTF">2025-06-05T14:13:38Z</dcterms:modified>
</cp:coreProperties>
</file>