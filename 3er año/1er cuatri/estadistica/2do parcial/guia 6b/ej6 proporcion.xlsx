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6A4FC693-BDF6-4629-9B85-B3870786BC51}" xr6:coauthVersionLast="47" xr6:coauthVersionMax="47" xr10:uidLastSave="{00000000-0000-0000-0000-000000000000}"/>
  <bookViews>
    <workbookView xWindow="-120" yWindow="-120" windowWidth="29040" windowHeight="15840" xr2:uid="{86DF30A9-01C0-4FF5-B249-5EEAB322A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<sst xmlns="http://schemas.openxmlformats.org/spreadsheetml/2006/main" count="11" uniqueCount="11">
  <si>
    <t>casos de éxito(x)</t>
  </si>
  <si>
    <t>tamaño muestral(n)</t>
  </si>
  <si>
    <t>proporcion</t>
  </si>
  <si>
    <t>nivel confianza</t>
  </si>
  <si>
    <t>alfa</t>
  </si>
  <si>
    <t>alfa / 2</t>
  </si>
  <si>
    <t>calculo z</t>
  </si>
  <si>
    <t>error estandar</t>
  </si>
  <si>
    <t>limite inferior</t>
  </si>
  <si>
    <t>limite superior</t>
  </si>
  <si>
    <t>margen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</si>
</sst>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2</xdr:row>
      <xdr:rowOff>142875</xdr:rowOff>
    </xdr:from>
    <xdr:to>
      <xdr:col>13</xdr:col>
      <xdr:colOff>342440</xdr:colOff>
      <xdr:row>7</xdr:row>
      <xdr:rowOff>47518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505E4A-3FAE-9AD3-990E-482A7BBD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523875"/>
          <a:ext cx="3676190" cy="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7D15-9C13-49E5-9AE8-284F6AABCE42}">
  <dimension ref="A1:D7"/>
  <sheetViews>
    <sheetView tabSelected="1" workbookViewId="0">
      <selection activeCell="C4" sqref="C4"/>
    </sheetView>
  </sheetViews>
  <sheetFormatPr baseColWidth="10" defaultRowHeight="15" x14ac:dyDescent="0.25"/>
  <cols>
    <col min="1" max="1" width="26.85546875" customWidth="1"/>
    <col min="3" max="3" width="27.85546875" customWidth="1"/>
  </cols>
  <sheetData>
    <row r="1" spans="1:4" x14ac:dyDescent="0.25">
      <c r="A1" s="1" t="s">
        <v>1</v>
      </c>
      <c r="B1">
        <v>200</v>
      </c>
      <c r="C1" t="s">
        <v>4</v>
      </c>
      <c r="D1">
        <f>1-B4</f>
        <v>5.0000000000000044E-2</v>
      </c>
    </row>
    <row r="2" spans="1:4" x14ac:dyDescent="0.25">
      <c r="A2" s="1" t="s">
        <v>0</v>
      </c>
      <c r="B2">
        <v>19</v>
      </c>
      <c r="C2" t="s">
        <v>5</v>
      </c>
      <c r="D2">
        <f>D1/2</f>
        <v>2.5000000000000022E-2</v>
      </c>
    </row>
    <row r="3" spans="1:4" x14ac:dyDescent="0.25">
      <c r="A3" s="1" t="s">
        <v>2</v>
      </c>
      <c r="B3">
        <v>9.5000000000000001E-2</v>
      </c>
      <c r="C3" t="s">
        <v>6</v>
      </c>
      <c r="D3">
        <f>_xlfn.NORM.S.INV(1-D2)</f>
        <v>1.9599639845400536</v>
      </c>
    </row>
    <row r="4" spans="1:4" x14ac:dyDescent="0.25">
      <c r="A4" s="1" t="s">
        <v>3</v>
      </c>
      <c r="B4">
        <v>0.95</v>
      </c>
      <c r="C4" t="s">
        <v>7</v>
      </c>
      <c r="D4" s="2">
        <f>SQRT((B3*(1-B3))/B1)</f>
        <v>2.0733427116615334E-2</v>
      </c>
    </row>
    <row r="5" spans="1:4" x14ac:dyDescent="0.25">
      <c r="C5" t="s">
        <v>10</v>
      </c>
      <c r="D5">
        <f>D4*D3</f>
        <v>4.0636770424652184E-2</v>
      </c>
    </row>
    <row r="6" spans="1:4" x14ac:dyDescent="0.25">
      <c r="C6" t="s">
        <v>8</v>
      </c>
      <c r="D6" s="3">
        <f>B3-D5</f>
        <v>5.4363229575347817E-2</v>
      </c>
    </row>
    <row r="7" spans="1:4" x14ac:dyDescent="0.25">
      <c r="C7" t="s">
        <v>9</v>
      </c>
      <c r="D7" s="3">
        <f>B3+D5</f>
        <v>0.13563677042465219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2025-06-05T14:33:28Z</dcterms:created>
  <dcterms:modified xsi:type="dcterms:W3CDTF">2025-06-05T14:48:08Z</dcterms:modified>
</cp:coreProperties>
</file>