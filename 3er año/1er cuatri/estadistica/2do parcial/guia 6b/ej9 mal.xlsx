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o\Desktop\FACU\3er año\1er cuatri\estadistica\2do parcial\guia 6b\"/>
    </mc:Choice>
  </mc:AlternateContent>
  <xr:revisionPtr revIDLastSave="0" documentId="8_{1D42A85F-7F95-42CF-90CB-1A7B06BB40D8}" xr6:coauthVersionLast="47" xr6:coauthVersionMax="47" xr10:uidLastSave="{00000000-0000-0000-0000-000000000000}"/>
  <bookViews>
    <workbookView xWindow="-120" yWindow="-120" windowWidth="29040" windowHeight="15840" xr2:uid="{E487F715-85FF-4E36-A6BC-BDA59A8D08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" i="1"/>
  <c r="D3" i="1"/>
  <c r="D4" i="1"/>
  <c r="D5" i="1"/>
  <c r="D6" i="1"/>
  <c r="D7" i="1"/>
  <c r="D1" i="1"/>
  <c r="I5" i="1"/>
  <c r="I4" i="1"/>
  <c r="I3" i="1"/>
  <c r="I2" i="1" l="1"/>
  <c r="I1" i="1"/>
</calcChain>
</file>

<file path=xl/sharedStrings.xml><?xml version="1.0" encoding="utf-8"?>
<sst xmlns="http://schemas.openxmlformats.org/spreadsheetml/2006/main" count="36" uniqueCount="22">
  <si>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</si>
  <si>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</si>
  <si>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</si>
  <si>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</si>
  <si>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</si>
  <si>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</si>
  <si>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</si>
  <si>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</si>
  <si>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</si>
  <si>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</si>
  <si>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</si>
  <si>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</si>
  <si>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</si>
  <si>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confianza(95.0%)</t>
  </si>
  <si>
    <t>MARCA A</t>
  </si>
  <si>
    <t>MARCA B</t>
  </si>
  <si>
    <t>nivel confianza</t>
  </si>
  <si>
    <t>alfa</t>
  </si>
  <si>
    <t>alfa /2</t>
  </si>
  <si>
    <t>calculo t (valor critico)</t>
  </si>
  <si>
    <t>calculo sp</t>
  </si>
  <si>
    <t>margen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</si>
</sst>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166" fontId="0" fillId="0" borderId="0" xfId="0" applyNumberFormat="1" applyFill="1" applyBorder="1" applyAlignment="1"/>
    <xf numFmtId="166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2113-D958-4438-85B9-835B67E280FF}">
  <dimension ref="A1:I25"/>
  <sheetViews>
    <sheetView tabSelected="1" workbookViewId="0">
      <selection activeCell="F15" sqref="F15"/>
    </sheetView>
  </sheetViews>
  <sheetFormatPr baseColWidth="10" defaultRowHeight="15" x14ac:dyDescent="0.25"/>
  <cols>
    <col min="1" max="1" width="11.42578125" customWidth="1"/>
    <col min="6" max="6" width="27" customWidth="1"/>
    <col min="8" max="8" width="22.85546875" customWidth="1"/>
    <col min="9" max="9" width="13.5703125" bestFit="1" customWidth="1"/>
  </cols>
  <sheetData>
    <row r="1" spans="1:9" x14ac:dyDescent="0.25">
      <c r="A1">
        <v>1</v>
      </c>
      <c r="B1">
        <v>36925</v>
      </c>
      <c r="C1">
        <v>34318</v>
      </c>
      <c r="D1">
        <f>B1-C1</f>
        <v>2607</v>
      </c>
      <c r="F1" t="s">
        <v>16</v>
      </c>
      <c r="G1">
        <v>0.95</v>
      </c>
      <c r="H1" t="s">
        <v>17</v>
      </c>
      <c r="I1">
        <f>1-G1</f>
        <v>5.0000000000000044E-2</v>
      </c>
    </row>
    <row r="2" spans="1:9" x14ac:dyDescent="0.25">
      <c r="A2">
        <v>2</v>
      </c>
      <c r="B2">
        <v>45300</v>
      </c>
      <c r="C2">
        <v>42280</v>
      </c>
      <c r="D2">
        <f t="shared" ref="D2:D7" si="0">B2-C2</f>
        <v>3020</v>
      </c>
      <c r="H2" t="s">
        <v>18</v>
      </c>
      <c r="I2">
        <f>I1/2</f>
        <v>2.5000000000000022E-2</v>
      </c>
    </row>
    <row r="3" spans="1:9" x14ac:dyDescent="0.25">
      <c r="A3">
        <v>3</v>
      </c>
      <c r="B3">
        <v>36240</v>
      </c>
      <c r="C3">
        <v>35500</v>
      </c>
      <c r="D3">
        <f t="shared" si="0"/>
        <v>740</v>
      </c>
      <c r="H3" t="s">
        <v>19</v>
      </c>
      <c r="I3">
        <f>TINV(I2,14)</f>
        <v>2.5095694114933238</v>
      </c>
    </row>
    <row r="4" spans="1:9" x14ac:dyDescent="0.25">
      <c r="A4">
        <v>4</v>
      </c>
      <c r="B4">
        <v>32100</v>
      </c>
      <c r="C4">
        <v>31950</v>
      </c>
      <c r="D4">
        <f t="shared" si="0"/>
        <v>150</v>
      </c>
      <c r="H4" t="s">
        <v>20</v>
      </c>
      <c r="I4">
        <f>SQRT((7*B17+7*E17)/14)</f>
        <v>5419.8611465806289</v>
      </c>
    </row>
    <row r="5" spans="1:9" x14ac:dyDescent="0.25">
      <c r="A5">
        <v>5</v>
      </c>
      <c r="B5">
        <v>37210</v>
      </c>
      <c r="C5">
        <v>38015</v>
      </c>
      <c r="D5">
        <f t="shared" si="0"/>
        <v>-805</v>
      </c>
      <c r="H5" t="s">
        <v>21</v>
      </c>
      <c r="I5">
        <f>I3*I4*SQRT((1/8)+(1/8))</f>
        <v>6800.7588739999401</v>
      </c>
    </row>
    <row r="6" spans="1:9" x14ac:dyDescent="0.25">
      <c r="A6">
        <v>6</v>
      </c>
      <c r="B6">
        <v>48360</v>
      </c>
      <c r="C6">
        <v>47800</v>
      </c>
      <c r="D6">
        <f t="shared" si="0"/>
        <v>560</v>
      </c>
    </row>
    <row r="7" spans="1:9" x14ac:dyDescent="0.25">
      <c r="A7">
        <v>7</v>
      </c>
      <c r="B7">
        <v>38200</v>
      </c>
      <c r="C7">
        <v>37810</v>
      </c>
      <c r="D7">
        <f t="shared" si="0"/>
        <v>390</v>
      </c>
    </row>
    <row r="8" spans="1:9" x14ac:dyDescent="0.25">
      <c r="A8">
        <v>8</v>
      </c>
      <c r="B8">
        <v>33500</v>
      </c>
      <c r="C8">
        <v>33215</v>
      </c>
      <c r="D8">
        <f>B8-C8</f>
        <v>285</v>
      </c>
    </row>
    <row r="9" spans="1:9" ht="15.75" thickBot="1" x14ac:dyDescent="0.3"/>
    <row r="10" spans="1:9" x14ac:dyDescent="0.25">
      <c r="A10" s="3" t="s">
        <v>14</v>
      </c>
      <c r="B10" s="3"/>
      <c r="D10" s="3" t="s">
        <v>15</v>
      </c>
      <c r="E10" s="3"/>
    </row>
    <row r="11" spans="1:9" x14ac:dyDescent="0.25">
      <c r="A11" s="1"/>
      <c r="B11" s="1"/>
      <c r="D11" s="1"/>
      <c r="E11" s="1"/>
    </row>
    <row r="12" spans="1:9" x14ac:dyDescent="0.25">
      <c r="A12" s="1" t="s">
        <v>0</v>
      </c>
      <c r="B12" s="4">
        <v>38479.375</v>
      </c>
      <c r="D12" s="1" t="s">
        <v>0</v>
      </c>
      <c r="E12" s="4">
        <v>37611</v>
      </c>
    </row>
    <row r="13" spans="1:9" x14ac:dyDescent="0.25">
      <c r="A13" s="1" t="s">
        <v>1</v>
      </c>
      <c r="B13" s="4">
        <v>1976.4620351373524</v>
      </c>
      <c r="D13" s="1" t="s">
        <v>1</v>
      </c>
      <c r="E13" s="4">
        <v>1854.0014929104791</v>
      </c>
    </row>
    <row r="14" spans="1:9" x14ac:dyDescent="0.25">
      <c r="A14" s="1" t="s">
        <v>2</v>
      </c>
      <c r="B14" s="4">
        <v>37067.5</v>
      </c>
      <c r="D14" s="1" t="s">
        <v>2</v>
      </c>
      <c r="E14" s="4">
        <v>36655</v>
      </c>
    </row>
    <row r="15" spans="1:9" x14ac:dyDescent="0.25">
      <c r="A15" s="1" t="s">
        <v>3</v>
      </c>
      <c r="B15" s="4" t="e">
        <v>#N/A</v>
      </c>
      <c r="D15" s="1" t="s">
        <v>3</v>
      </c>
      <c r="E15" s="4" t="e">
        <v>#N/A</v>
      </c>
    </row>
    <row r="16" spans="1:9" x14ac:dyDescent="0.25">
      <c r="A16" s="1" t="s">
        <v>4</v>
      </c>
      <c r="B16" s="4">
        <v>5590.2788312135453</v>
      </c>
      <c r="D16" s="1" t="s">
        <v>4</v>
      </c>
      <c r="E16" s="4">
        <v>5243.9081118679305</v>
      </c>
    </row>
    <row r="17" spans="1:5" x14ac:dyDescent="0.25">
      <c r="A17" s="1" t="s">
        <v>5</v>
      </c>
      <c r="B17" s="4">
        <v>31251217.410714287</v>
      </c>
      <c r="D17" s="1" t="s">
        <v>5</v>
      </c>
      <c r="E17" s="4">
        <v>27498572.285714287</v>
      </c>
    </row>
    <row r="18" spans="1:5" x14ac:dyDescent="0.25">
      <c r="A18" s="1" t="s">
        <v>6</v>
      </c>
      <c r="B18" s="4">
        <v>1.4717764191625626E-2</v>
      </c>
      <c r="D18" s="1" t="s">
        <v>6</v>
      </c>
      <c r="E18" s="4">
        <v>0.89952558573294805</v>
      </c>
    </row>
    <row r="19" spans="1:5" x14ac:dyDescent="0.25">
      <c r="A19" s="1" t="s">
        <v>7</v>
      </c>
      <c r="B19" s="4">
        <v>0.96139768499142042</v>
      </c>
      <c r="D19" s="1" t="s">
        <v>7</v>
      </c>
      <c r="E19" s="4">
        <v>1.1203339711642102</v>
      </c>
    </row>
    <row r="20" spans="1:5" x14ac:dyDescent="0.25">
      <c r="A20" s="1" t="s">
        <v>8</v>
      </c>
      <c r="B20" s="4">
        <v>16260</v>
      </c>
      <c r="D20" s="1" t="s">
        <v>8</v>
      </c>
      <c r="E20" s="4">
        <v>15850</v>
      </c>
    </row>
    <row r="21" spans="1:5" x14ac:dyDescent="0.25">
      <c r="A21" s="1" t="s">
        <v>9</v>
      </c>
      <c r="B21" s="4">
        <v>32100</v>
      </c>
      <c r="D21" s="1" t="s">
        <v>9</v>
      </c>
      <c r="E21" s="4">
        <v>31950</v>
      </c>
    </row>
    <row r="22" spans="1:5" x14ac:dyDescent="0.25">
      <c r="A22" s="1" t="s">
        <v>10</v>
      </c>
      <c r="B22" s="4">
        <v>48360</v>
      </c>
      <c r="D22" s="1" t="s">
        <v>10</v>
      </c>
      <c r="E22" s="4">
        <v>47800</v>
      </c>
    </row>
    <row r="23" spans="1:5" x14ac:dyDescent="0.25">
      <c r="A23" s="1" t="s">
        <v>11</v>
      </c>
      <c r="B23" s="4">
        <v>307835</v>
      </c>
      <c r="D23" s="1" t="s">
        <v>11</v>
      </c>
      <c r="E23" s="4">
        <v>300888</v>
      </c>
    </row>
    <row r="24" spans="1:5" x14ac:dyDescent="0.25">
      <c r="A24" s="1" t="s">
        <v>12</v>
      </c>
      <c r="B24" s="4">
        <v>8</v>
      </c>
      <c r="D24" s="1" t="s">
        <v>12</v>
      </c>
      <c r="E24" s="4">
        <v>8</v>
      </c>
    </row>
    <row r="25" spans="1:5" ht="15.75" thickBot="1" x14ac:dyDescent="0.3">
      <c r="A25" s="2" t="s">
        <v>13</v>
      </c>
      <c r="B25" s="5">
        <v>4673.5900606382147</v>
      </c>
      <c r="D25" s="2" t="s">
        <v>13</v>
      </c>
      <c r="E25" s="5">
        <v>4384.0168926253473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justo</dc:creator>
  <cp:lastModifiedBy>justo</cp:lastModifiedBy>
  <dcterms:created xsi:type="dcterms:W3CDTF">2025-06-05T15:29:10Z</dcterms:created>
  <dcterms:modified xsi:type="dcterms:W3CDTF">2025-06-05T19:54:40Z</dcterms:modified>
</cp:coreProperties>
</file>