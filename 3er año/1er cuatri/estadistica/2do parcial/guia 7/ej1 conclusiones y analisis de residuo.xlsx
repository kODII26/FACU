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7\"/>
    </mc:Choice>
  </mc:AlternateContent>
  <xr:revisionPtr revIDLastSave="0" documentId="13_ncr:1_{F9B22578-3C78-4424-83D5-C3AD5CBC55E4}" xr6:coauthVersionLast="47" xr6:coauthVersionMax="47" xr10:uidLastSave="{00000000-0000-0000-0000-000000000000}"/>
  <bookViews>
    <workbookView xWindow="-120" yWindow="-120" windowWidth="29040" windowHeight="15840" xr2:uid="{0B523B4F-F8D0-4B49-AB7B-91909750337E}"/>
  </bookViews>
  <sheets>
    <sheet name="Hoja1" sheetId="1" r:id="rId1"/>
  </sheets>
  <definedNames>
    <definedName name="_xlchart.v1.0" hidden="1">Hoja1!$M$44:$M$53</definedName>
    <definedName name="_xlchart.v1.1" hidden="1">Hoja1!$M$44:$M$53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" l="1"/>
</calcChain>
</file>

<file path=xl/sharedStrings.xml><?xml version="1.0" encoding="utf-8"?>
<sst xmlns="http://schemas.openxmlformats.org/spreadsheetml/2006/main" count="75" uniqueCount="47">
  <si>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</si>
  <si>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</si>
  <si>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</si>
  <si>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</si>
  <si>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</si>
  <si>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</si>
  <si>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</si>
  <si>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</si>
  <si>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</si>
  <si>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</si>
  <si>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</si>
  <si>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</si>
  <si>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</si>
  <si>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</si>
  <si>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</si>
  <si>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</si>
  <si>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</si>
  <si>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</si>
  <si>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</si>
  <si>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</si>
  <si>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</si>
  <si>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</si>
  <si>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</si>
  <si>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</si>
  <si>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</si>
  <si>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En la etapa previa a la construccion de una presa se construyo un modelo y se efectuaron mediciones de los esfuerzos sobre la placa base y la velocidad de flujo. Fueron:</t>
  </si>
  <si>
    <r>
      <rPr>
        <sz val="11"/>
        <color rgb="FFFF0000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Establecer una relación entre las variables gráfica y analíticamente:</t>
    </r>
  </si>
  <si>
    <t>Se observa que el coeficiente de determinación r 2 es 0.989, es decir que el modelo propuesto sirve para explicar el 98% de la variabilidad de Y</t>
  </si>
  <si>
    <t>A su vez por tratarse de un modelo lineal, cobra especial sentido analizar el valor del coeficiente de correlación r = 0, 928</t>
  </si>
  <si>
    <t>Considerando que el coreficiente de correlación es positivo, la relación entre X e Y es directamente proporcional.</t>
  </si>
  <si>
    <t>que implica un alto grado de asociación lineal entre las variables.</t>
  </si>
  <si>
    <r>
      <rPr>
        <sz val="11"/>
        <color rgb="FFFF0000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¿Puede ser el coeficiente de regresión igual a 20?</t>
    </r>
  </si>
  <si>
    <t>El valor estimado por mínimos cuadrados del coeficiente de regresión (pendiente de la recta b) es de 18.532.</t>
  </si>
  <si>
    <t>En la tabla además se presenta un intervalo del 95% para ese coeficiente. Como 20 es un valor perteneciente al intervalo calculado</t>
  </si>
  <si>
    <r>
      <rPr>
        <sz val="11"/>
        <color rgb="FFFF0000"/>
        <rFont val="Aptos Narrow"/>
        <family val="2"/>
        <scheme val="minor"/>
      </rPr>
      <t>c)</t>
    </r>
    <r>
      <rPr>
        <sz val="11"/>
        <color theme="1"/>
        <rFont val="Aptos Narrow"/>
        <family val="2"/>
        <scheme val="minor"/>
      </rPr>
      <t xml:space="preserve"> Determinar una estimación para el valor esperado de esfuerzo cuando la velocidad es de 14.</t>
    </r>
  </si>
  <si>
    <t>Análisis de los residuales</t>
  </si>
  <si>
    <t>Observación</t>
  </si>
  <si>
    <t>Pronóstico para Y</t>
  </si>
  <si>
    <t>Residuos estándares</t>
  </si>
  <si>
    <t>Resultados de datos de probabilidad</t>
  </si>
  <si>
    <t>Percentil</t>
  </si>
  <si>
    <t>Y</t>
  </si>
  <si>
    <t>&lt;-Seleccione columna de residuo, insertar, histograma</t>
  </si>
  <si>
    <t>&lt;- Sigue una distribucion normal (campana gauss) que es lo esperable en el analisis de residuo</t>
  </si>
  <si>
    <t>esperanza</t>
  </si>
  <si>
    <t>&lt;-Da muy cercano a 0, esto es lo esperable</t>
  </si>
  <si>
    <t>y=18,53*14+0,69=260,11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</si>
</sst>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1.33</c:v>
                </c:pt>
                <c:pt idx="1">
                  <c:v>2.68</c:v>
                </c:pt>
                <c:pt idx="2">
                  <c:v>3.57</c:v>
                </c:pt>
                <c:pt idx="3">
                  <c:v>4.46</c:v>
                </c:pt>
                <c:pt idx="4">
                  <c:v>5.35</c:v>
                </c:pt>
                <c:pt idx="5">
                  <c:v>6.24</c:v>
                </c:pt>
                <c:pt idx="6">
                  <c:v>7.14</c:v>
                </c:pt>
                <c:pt idx="7">
                  <c:v>8.93</c:v>
                </c:pt>
                <c:pt idx="8">
                  <c:v>9.82</c:v>
                </c:pt>
                <c:pt idx="9">
                  <c:v>10.7</c:v>
                </c:pt>
              </c:numCache>
            </c:numRef>
          </c:xVal>
          <c:yVal>
            <c:numRef>
              <c:f>Hoja1!$B$2:$B$11</c:f>
              <c:numCache>
                <c:formatCode>General</c:formatCode>
                <c:ptCount val="10"/>
                <c:pt idx="0">
                  <c:v>27</c:v>
                </c:pt>
                <c:pt idx="1">
                  <c:v>50</c:v>
                </c:pt>
                <c:pt idx="2">
                  <c:v>67</c:v>
                </c:pt>
                <c:pt idx="3">
                  <c:v>83</c:v>
                </c:pt>
                <c:pt idx="4">
                  <c:v>101</c:v>
                </c:pt>
                <c:pt idx="5">
                  <c:v>117</c:v>
                </c:pt>
                <c:pt idx="6">
                  <c:v>134</c:v>
                </c:pt>
                <c:pt idx="7">
                  <c:v>150</c:v>
                </c:pt>
                <c:pt idx="8">
                  <c:v>188</c:v>
                </c:pt>
                <c:pt idx="9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9-496F-976A-716D12B77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358320"/>
        <c:axId val="1837356880"/>
      </c:scatterChart>
      <c:valAx>
        <c:axId val="183735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37356880"/>
        <c:crosses val="autoZero"/>
        <c:crossBetween val="midCat"/>
      </c:valAx>
      <c:valAx>
        <c:axId val="18373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3735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Variable X 1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1.33</c:v>
                </c:pt>
                <c:pt idx="1">
                  <c:v>2.68</c:v>
                </c:pt>
                <c:pt idx="2">
                  <c:v>3.57</c:v>
                </c:pt>
                <c:pt idx="3">
                  <c:v>4.46</c:v>
                </c:pt>
                <c:pt idx="4">
                  <c:v>5.35</c:v>
                </c:pt>
                <c:pt idx="5">
                  <c:v>6.24</c:v>
                </c:pt>
                <c:pt idx="6">
                  <c:v>7.14</c:v>
                </c:pt>
                <c:pt idx="7">
                  <c:v>8.93</c:v>
                </c:pt>
                <c:pt idx="8">
                  <c:v>9.82</c:v>
                </c:pt>
                <c:pt idx="9">
                  <c:v>10.7</c:v>
                </c:pt>
              </c:numCache>
            </c:numRef>
          </c:xVal>
          <c:yVal>
            <c:numRef>
              <c:f>Hoja1!$M$44:$M$53</c:f>
              <c:numCache>
                <c:formatCode>General</c:formatCode>
                <c:ptCount val="10"/>
                <c:pt idx="0">
                  <c:v>1.6536844713258816</c:v>
                </c:pt>
                <c:pt idx="1">
                  <c:v>-0.36495875891494478</c:v>
                </c:pt>
                <c:pt idx="2">
                  <c:v>0.14126903744481467</c:v>
                </c:pt>
                <c:pt idx="3">
                  <c:v>-0.35250316619543298</c:v>
                </c:pt>
                <c:pt idx="4">
                  <c:v>1.1537246301643336</c:v>
                </c:pt>
                <c:pt idx="5">
                  <c:v>0.65995242652407171</c:v>
                </c:pt>
                <c:pt idx="6">
                  <c:v>0.98085693969687782</c:v>
                </c:pt>
                <c:pt idx="7">
                  <c:v>-16.192010750770578</c:v>
                </c:pt>
                <c:pt idx="8">
                  <c:v>5.314217045589146</c:v>
                </c:pt>
                <c:pt idx="9">
                  <c:v>7.0057681251358872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B-4B7C-A347-0ED9C6AE3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237312"/>
        <c:axId val="1998236352"/>
      </c:scatterChart>
      <c:valAx>
        <c:axId val="199823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8236352"/>
        <c:crosses val="autoZero"/>
        <c:crossBetween val="midCat"/>
      </c:valAx>
      <c:valAx>
        <c:axId val="1998236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82373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Variable X 1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1.33</c:v>
                </c:pt>
                <c:pt idx="1">
                  <c:v>2.68</c:v>
                </c:pt>
                <c:pt idx="2">
                  <c:v>3.57</c:v>
                </c:pt>
                <c:pt idx="3">
                  <c:v>4.46</c:v>
                </c:pt>
                <c:pt idx="4">
                  <c:v>5.35</c:v>
                </c:pt>
                <c:pt idx="5">
                  <c:v>6.24</c:v>
                </c:pt>
                <c:pt idx="6">
                  <c:v>7.14</c:v>
                </c:pt>
                <c:pt idx="7">
                  <c:v>8.93</c:v>
                </c:pt>
                <c:pt idx="8">
                  <c:v>9.82</c:v>
                </c:pt>
                <c:pt idx="9">
                  <c:v>10.7</c:v>
                </c:pt>
              </c:numCache>
            </c:numRef>
          </c:xVal>
          <c:yVal>
            <c:numRef>
              <c:f>Hoja1!$B$2:$B$11</c:f>
              <c:numCache>
                <c:formatCode>General</c:formatCode>
                <c:ptCount val="10"/>
                <c:pt idx="0">
                  <c:v>27</c:v>
                </c:pt>
                <c:pt idx="1">
                  <c:v>50</c:v>
                </c:pt>
                <c:pt idx="2">
                  <c:v>67</c:v>
                </c:pt>
                <c:pt idx="3">
                  <c:v>83</c:v>
                </c:pt>
                <c:pt idx="4">
                  <c:v>101</c:v>
                </c:pt>
                <c:pt idx="5">
                  <c:v>117</c:v>
                </c:pt>
                <c:pt idx="6">
                  <c:v>134</c:v>
                </c:pt>
                <c:pt idx="7">
                  <c:v>150</c:v>
                </c:pt>
                <c:pt idx="8">
                  <c:v>188</c:v>
                </c:pt>
                <c:pt idx="9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8A-47B5-B73A-B7A92AF3E349}"/>
            </c:ext>
          </c:extLst>
        </c:ser>
        <c:ser>
          <c:idx val="1"/>
          <c:order val="1"/>
          <c:tx>
            <c:v>Pronóstico para Y</c:v>
          </c:tx>
          <c:spPr>
            <a:ln w="38100">
              <a:noFill/>
            </a:ln>
          </c:spPr>
          <c:xVal>
            <c:numRef>
              <c:f>Hoja1!$A$2:$A$11</c:f>
              <c:numCache>
                <c:formatCode>General</c:formatCode>
                <c:ptCount val="10"/>
                <c:pt idx="0">
                  <c:v>1.33</c:v>
                </c:pt>
                <c:pt idx="1">
                  <c:v>2.68</c:v>
                </c:pt>
                <c:pt idx="2">
                  <c:v>3.57</c:v>
                </c:pt>
                <c:pt idx="3">
                  <c:v>4.46</c:v>
                </c:pt>
                <c:pt idx="4">
                  <c:v>5.35</c:v>
                </c:pt>
                <c:pt idx="5">
                  <c:v>6.24</c:v>
                </c:pt>
                <c:pt idx="6">
                  <c:v>7.14</c:v>
                </c:pt>
                <c:pt idx="7">
                  <c:v>8.93</c:v>
                </c:pt>
                <c:pt idx="8">
                  <c:v>9.82</c:v>
                </c:pt>
                <c:pt idx="9">
                  <c:v>10.7</c:v>
                </c:pt>
              </c:numCache>
            </c:numRef>
          </c:xVal>
          <c:yVal>
            <c:numRef>
              <c:f>Hoja1!$L$44:$L$53</c:f>
              <c:numCache>
                <c:formatCode>General</c:formatCode>
                <c:ptCount val="10"/>
                <c:pt idx="0">
                  <c:v>25.346315528674118</c:v>
                </c:pt>
                <c:pt idx="1">
                  <c:v>50.364958758914945</c:v>
                </c:pt>
                <c:pt idx="2">
                  <c:v>66.858730962555185</c:v>
                </c:pt>
                <c:pt idx="3">
                  <c:v>83.352503166195433</c:v>
                </c:pt>
                <c:pt idx="4">
                  <c:v>99.846275369835666</c:v>
                </c:pt>
                <c:pt idx="5">
                  <c:v>116.34004757347593</c:v>
                </c:pt>
                <c:pt idx="6">
                  <c:v>133.01914306030312</c:v>
                </c:pt>
                <c:pt idx="7">
                  <c:v>166.19201075077058</c:v>
                </c:pt>
                <c:pt idx="8">
                  <c:v>182.68578295441085</c:v>
                </c:pt>
                <c:pt idx="9">
                  <c:v>198.99423187486411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8A-47B5-B73A-B7A92AF3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766048"/>
        <c:axId val="1824767488"/>
      </c:scatterChart>
      <c:valAx>
        <c:axId val="182476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4767488"/>
        <c:crosses val="autoZero"/>
        <c:crossBetween val="midCat"/>
      </c:valAx>
      <c:valAx>
        <c:axId val="1824767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4766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Gráfico de probabilidad normal</a:t>
            </a:r>
          </a:p>
        </c:rich>
      </c:tx>
      <c:layout>
        <c:manualLayout>
          <c:xMode val="edge"/>
          <c:yMode val="edge"/>
          <c:x val="0.16300000000000001"/>
          <c:y val="3.85409469743333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Hoja1!$P$44:$P$53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Hoja1!$Q$44:$Q$53</c:f>
              <c:numCache>
                <c:formatCode>General</c:formatCode>
                <c:ptCount val="10"/>
                <c:pt idx="0">
                  <c:v>27</c:v>
                </c:pt>
                <c:pt idx="1">
                  <c:v>50</c:v>
                </c:pt>
                <c:pt idx="2">
                  <c:v>67</c:v>
                </c:pt>
                <c:pt idx="3">
                  <c:v>83</c:v>
                </c:pt>
                <c:pt idx="4">
                  <c:v>101</c:v>
                </c:pt>
                <c:pt idx="5">
                  <c:v>117</c:v>
                </c:pt>
                <c:pt idx="6">
                  <c:v>134</c:v>
                </c:pt>
                <c:pt idx="7">
                  <c:v>150</c:v>
                </c:pt>
                <c:pt idx="8">
                  <c:v>188</c:v>
                </c:pt>
                <c:pt idx="9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F-4764-851D-33AAFA72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856144"/>
        <c:axId val="1867855664"/>
      </c:scatterChart>
      <c:valAx>
        <c:axId val="186785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7855664"/>
        <c:crosses val="autoZero"/>
        <c:crossBetween val="midCat"/>
      </c:valAx>
      <c:valAx>
        <c:axId val="1867855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78561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Residuos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Residuos</a:t>
          </a:r>
        </a:p>
      </cx:txPr>
    </cx:title>
    <cx:plotArea>
      <cx:plotAreaRegion>
        <cx:series layoutId="clusteredColumn" uniqueId="{34B3000C-0222-49E4-9475-316667FAEEF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95250</xdr:rowOff>
    </xdr:from>
    <xdr:to>
      <xdr:col>8</xdr:col>
      <xdr:colOff>561975</xdr:colOff>
      <xdr:row>15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FE4BCF-8DE9-4115-D147-91D5F5BDF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110778</xdr:colOff>
      <xdr:row>18</xdr:row>
      <xdr:rowOff>119903</xdr:rowOff>
    </xdr:from>
    <xdr:to>
      <xdr:col>19</xdr:col>
      <xdr:colOff>110778</xdr:colOff>
      <xdr:row>28</xdr:row>
      <xdr:rowOff>125346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1CE17E-A73C-2B75-EE88-60C5C8D1B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276464</xdr:colOff>
      <xdr:row>18</xdr:row>
      <xdr:rowOff>135752</xdr:rowOff>
    </xdr:from>
    <xdr:to>
      <xdr:col>25</xdr:col>
      <xdr:colOff>276464</xdr:colOff>
      <xdr:row>28</xdr:row>
      <xdr:rowOff>135752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3E2D7F-4930-499B-A038-6279D8AFA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474969</xdr:colOff>
      <xdr:row>18</xdr:row>
      <xdr:rowOff>136552</xdr:rowOff>
    </xdr:from>
    <xdr:to>
      <xdr:col>31</xdr:col>
      <xdr:colOff>474969</xdr:colOff>
      <xdr:row>28</xdr:row>
      <xdr:rowOff>145437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69828E-ECC2-6737-7BC8-BAA6E04BB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756395</xdr:colOff>
      <xdr:row>40</xdr:row>
      <xdr:rowOff>186017</xdr:rowOff>
    </xdr:from>
    <xdr:to>
      <xdr:col>24</xdr:col>
      <xdr:colOff>756395</xdr:colOff>
      <xdr:row>55</xdr:row>
      <xdr:rowOff>49306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A748E9D-388D-D296-A8D6-EB1594AB31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2395" y="792928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E79B-AA0A-42CA-8506-F8D08882F32E}">
  <dimension ref="A1:Z56"/>
  <sheetViews>
    <sheetView tabSelected="1" zoomScale="70" zoomScaleNormal="70" workbookViewId="0">
      <selection activeCell="J20" sqref="J20"/>
    </sheetView>
  </sheetViews>
  <sheetFormatPr baseColWidth="10" defaultRowHeight="15" x14ac:dyDescent="0.25"/>
  <cols>
    <col min="14" max="14" width="12.28515625" bestFit="1" customWidth="1"/>
  </cols>
  <sheetData>
    <row r="1" spans="1:10" x14ac:dyDescent="0.25">
      <c r="A1" t="s">
        <v>25</v>
      </c>
    </row>
    <row r="2" spans="1:10" x14ac:dyDescent="0.25">
      <c r="A2">
        <v>1.33</v>
      </c>
      <c r="B2">
        <v>27</v>
      </c>
    </row>
    <row r="3" spans="1:10" x14ac:dyDescent="0.25">
      <c r="A3">
        <v>2.68</v>
      </c>
      <c r="B3">
        <v>50</v>
      </c>
    </row>
    <row r="4" spans="1:10" x14ac:dyDescent="0.25">
      <c r="A4">
        <v>3.57</v>
      </c>
      <c r="B4">
        <v>67</v>
      </c>
    </row>
    <row r="5" spans="1:10" x14ac:dyDescent="0.25">
      <c r="A5">
        <v>4.46</v>
      </c>
      <c r="B5">
        <v>83</v>
      </c>
    </row>
    <row r="6" spans="1:10" x14ac:dyDescent="0.25">
      <c r="A6">
        <v>5.35</v>
      </c>
      <c r="B6">
        <v>101</v>
      </c>
      <c r="J6" t="s">
        <v>26</v>
      </c>
    </row>
    <row r="7" spans="1:10" x14ac:dyDescent="0.25">
      <c r="A7">
        <v>6.24</v>
      </c>
      <c r="B7">
        <v>117</v>
      </c>
      <c r="J7" t="s">
        <v>27</v>
      </c>
    </row>
    <row r="8" spans="1:10" x14ac:dyDescent="0.25">
      <c r="A8">
        <v>7.14</v>
      </c>
      <c r="B8">
        <v>134</v>
      </c>
      <c r="J8" t="s">
        <v>28</v>
      </c>
    </row>
    <row r="9" spans="1:10" x14ac:dyDescent="0.25">
      <c r="A9">
        <v>8.93</v>
      </c>
      <c r="B9">
        <v>150</v>
      </c>
      <c r="J9" t="s">
        <v>30</v>
      </c>
    </row>
    <row r="10" spans="1:10" x14ac:dyDescent="0.25">
      <c r="A10">
        <v>9.82</v>
      </c>
      <c r="B10">
        <v>188</v>
      </c>
      <c r="J10" t="s">
        <v>29</v>
      </c>
    </row>
    <row r="11" spans="1:10" x14ac:dyDescent="0.25">
      <c r="A11">
        <v>10.7</v>
      </c>
      <c r="B11">
        <v>206</v>
      </c>
    </row>
    <row r="12" spans="1:10" x14ac:dyDescent="0.25">
      <c r="J12" t="s">
        <v>31</v>
      </c>
    </row>
    <row r="13" spans="1:10" x14ac:dyDescent="0.25">
      <c r="A13" t="s">
        <v>0</v>
      </c>
      <c r="J13" t="s">
        <v>32</v>
      </c>
    </row>
    <row r="14" spans="1:10" ht="15.75" thickBot="1" x14ac:dyDescent="0.3">
      <c r="J14" t="s">
        <v>33</v>
      </c>
    </row>
    <row r="15" spans="1:10" x14ac:dyDescent="0.25">
      <c r="A15" s="4" t="s">
        <v>1</v>
      </c>
      <c r="B15" s="4"/>
    </row>
    <row r="16" spans="1:10" x14ac:dyDescent="0.25">
      <c r="A16" s="1" t="s">
        <v>2</v>
      </c>
      <c r="B16" s="1">
        <v>0.99434648532630965</v>
      </c>
      <c r="J16" t="s">
        <v>34</v>
      </c>
    </row>
    <row r="17" spans="1:16" x14ac:dyDescent="0.25">
      <c r="A17" s="1" t="s">
        <v>3</v>
      </c>
      <c r="B17" s="1">
        <v>0.98872493288078489</v>
      </c>
      <c r="J17" t="s">
        <v>46</v>
      </c>
    </row>
    <row r="18" spans="1:16" x14ac:dyDescent="0.25">
      <c r="A18" s="1" t="s">
        <v>4</v>
      </c>
      <c r="B18" s="1">
        <v>0.98731554949088296</v>
      </c>
    </row>
    <row r="19" spans="1:16" x14ac:dyDescent="0.25">
      <c r="A19" s="1" t="s">
        <v>5</v>
      </c>
      <c r="B19" s="1">
        <v>6.5692815693296742</v>
      </c>
    </row>
    <row r="20" spans="1:16" ht="15.75" thickBot="1" x14ac:dyDescent="0.3">
      <c r="A20" s="2" t="s">
        <v>6</v>
      </c>
      <c r="B20" s="2">
        <v>10</v>
      </c>
      <c r="K20" t="s">
        <v>0</v>
      </c>
    </row>
    <row r="21" spans="1:16" ht="15.75" thickBot="1" x14ac:dyDescent="0.3"/>
    <row r="22" spans="1:16" ht="15.75" thickBot="1" x14ac:dyDescent="0.3">
      <c r="A22" t="s">
        <v>7</v>
      </c>
      <c r="K22" s="4" t="s">
        <v>1</v>
      </c>
      <c r="L22" s="4"/>
    </row>
    <row r="23" spans="1:16" x14ac:dyDescent="0.25">
      <c r="A23" s="3"/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K23" s="1" t="s">
        <v>2</v>
      </c>
      <c r="L23" s="1">
        <v>0.99434648532630965</v>
      </c>
    </row>
    <row r="24" spans="1:16" x14ac:dyDescent="0.25">
      <c r="A24" s="1" t="s">
        <v>8</v>
      </c>
      <c r="B24" s="1">
        <v>1</v>
      </c>
      <c r="C24" s="1">
        <v>30274.856317302922</v>
      </c>
      <c r="D24" s="1">
        <v>30274.856317302922</v>
      </c>
      <c r="E24" s="1">
        <v>701.53014429212146</v>
      </c>
      <c r="F24" s="1">
        <v>4.4391799104495265E-9</v>
      </c>
      <c r="K24" s="1" t="s">
        <v>3</v>
      </c>
      <c r="L24" s="1">
        <v>0.98872493288078489</v>
      </c>
    </row>
    <row r="25" spans="1:16" x14ac:dyDescent="0.25">
      <c r="A25" s="1" t="s">
        <v>9</v>
      </c>
      <c r="B25" s="1">
        <v>8</v>
      </c>
      <c r="C25" s="1">
        <v>345.24368269707634</v>
      </c>
      <c r="D25" s="1">
        <v>43.155460337134542</v>
      </c>
      <c r="E25" s="1"/>
      <c r="F25" s="1"/>
      <c r="K25" s="1" t="s">
        <v>4</v>
      </c>
      <c r="L25" s="1">
        <v>0.98731554949088296</v>
      </c>
    </row>
    <row r="26" spans="1:16" ht="15.75" thickBot="1" x14ac:dyDescent="0.3">
      <c r="A26" s="2" t="s">
        <v>10</v>
      </c>
      <c r="B26" s="2">
        <v>9</v>
      </c>
      <c r="C26" s="2">
        <v>30620.1</v>
      </c>
      <c r="D26" s="2"/>
      <c r="E26" s="2"/>
      <c r="F26" s="2"/>
      <c r="K26" s="1" t="s">
        <v>5</v>
      </c>
      <c r="L26" s="1">
        <v>6.5692815693296742</v>
      </c>
    </row>
    <row r="27" spans="1:16" ht="15.75" thickBot="1" x14ac:dyDescent="0.3">
      <c r="K27" s="2" t="s">
        <v>6</v>
      </c>
      <c r="L27" s="2">
        <v>10</v>
      </c>
    </row>
    <row r="28" spans="1:16" x14ac:dyDescent="0.25">
      <c r="A28" s="3"/>
      <c r="B28" s="3" t="s">
        <v>17</v>
      </c>
      <c r="C28" s="3" t="s">
        <v>5</v>
      </c>
      <c r="D28" s="3" t="s">
        <v>18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23</v>
      </c>
    </row>
    <row r="29" spans="1:16" ht="15.75" thickBot="1" x14ac:dyDescent="0.3">
      <c r="A29" s="1" t="s">
        <v>11</v>
      </c>
      <c r="B29" s="1">
        <v>0.69831886480723426</v>
      </c>
      <c r="C29" s="1">
        <v>4.6978188467087048</v>
      </c>
      <c r="D29" s="1">
        <v>0.14864746547144467</v>
      </c>
      <c r="E29" s="1">
        <v>0.88551047580389008</v>
      </c>
      <c r="F29" s="1">
        <v>-10.13487082214311</v>
      </c>
      <c r="G29" s="1">
        <v>11.531508551757579</v>
      </c>
      <c r="H29" s="1">
        <v>-10.13487082214311</v>
      </c>
      <c r="I29" s="1">
        <v>11.531508551757579</v>
      </c>
      <c r="K29" t="s">
        <v>7</v>
      </c>
    </row>
    <row r="30" spans="1:16" ht="15.75" thickBot="1" x14ac:dyDescent="0.3">
      <c r="A30" s="2" t="s">
        <v>24</v>
      </c>
      <c r="B30" s="2">
        <v>18.532328318696905</v>
      </c>
      <c r="C30" s="2">
        <v>0.69969185276414891</v>
      </c>
      <c r="D30" s="2">
        <v>26.486414334373784</v>
      </c>
      <c r="E30" s="2">
        <v>4.4391799104495422E-9</v>
      </c>
      <c r="F30" s="2">
        <v>16.918836012854111</v>
      </c>
      <c r="G30" s="2">
        <v>20.145820624539699</v>
      </c>
      <c r="H30" s="2">
        <v>16.918836012854111</v>
      </c>
      <c r="I30" s="2">
        <v>20.145820624539699</v>
      </c>
      <c r="K30" s="3"/>
      <c r="L30" s="3" t="s">
        <v>12</v>
      </c>
      <c r="M30" s="3" t="s">
        <v>13</v>
      </c>
      <c r="N30" s="3" t="s">
        <v>14</v>
      </c>
      <c r="O30" s="3" t="s">
        <v>15</v>
      </c>
      <c r="P30" s="3" t="s">
        <v>16</v>
      </c>
    </row>
    <row r="31" spans="1:16" x14ac:dyDescent="0.25">
      <c r="K31" s="1" t="s">
        <v>8</v>
      </c>
      <c r="L31" s="1">
        <v>1</v>
      </c>
      <c r="M31" s="1">
        <v>30274.856317302922</v>
      </c>
      <c r="N31" s="1">
        <v>30274.856317302922</v>
      </c>
      <c r="O31" s="1">
        <v>701.53014429212146</v>
      </c>
      <c r="P31" s="1">
        <v>4.4391799104495265E-9</v>
      </c>
    </row>
    <row r="32" spans="1:16" x14ac:dyDescent="0.25">
      <c r="K32" s="1" t="s">
        <v>9</v>
      </c>
      <c r="L32" s="1">
        <v>8</v>
      </c>
      <c r="M32" s="1">
        <v>345.24368269707634</v>
      </c>
      <c r="N32" s="1">
        <v>43.155460337134542</v>
      </c>
      <c r="O32" s="1"/>
      <c r="P32" s="1"/>
    </row>
    <row r="33" spans="11:26" ht="15.75" thickBot="1" x14ac:dyDescent="0.3">
      <c r="K33" s="2" t="s">
        <v>10</v>
      </c>
      <c r="L33" s="2">
        <v>9</v>
      </c>
      <c r="M33" s="2">
        <v>30620.1</v>
      </c>
      <c r="N33" s="2"/>
      <c r="O33" s="2"/>
      <c r="P33" s="2"/>
    </row>
    <row r="34" spans="11:26" ht="15.75" thickBot="1" x14ac:dyDescent="0.3"/>
    <row r="35" spans="11:26" x14ac:dyDescent="0.25">
      <c r="K35" s="3"/>
      <c r="L35" s="3" t="s">
        <v>17</v>
      </c>
      <c r="M35" s="3" t="s">
        <v>5</v>
      </c>
      <c r="N35" s="3" t="s">
        <v>18</v>
      </c>
      <c r="O35" s="3" t="s">
        <v>19</v>
      </c>
      <c r="P35" s="3" t="s">
        <v>20</v>
      </c>
      <c r="Q35" s="3" t="s">
        <v>21</v>
      </c>
      <c r="R35" s="3" t="s">
        <v>22</v>
      </c>
      <c r="S35" s="3" t="s">
        <v>23</v>
      </c>
    </row>
    <row r="36" spans="11:26" x14ac:dyDescent="0.25">
      <c r="K36" s="1" t="s">
        <v>11</v>
      </c>
      <c r="L36" s="1">
        <v>0.69831886480723426</v>
      </c>
      <c r="M36" s="1">
        <v>4.6978188467087048</v>
      </c>
      <c r="N36" s="1">
        <v>0.14864746547144467</v>
      </c>
      <c r="O36" s="1">
        <v>0.88551047580389008</v>
      </c>
      <c r="P36" s="1">
        <v>-10.13487082214311</v>
      </c>
      <c r="Q36" s="1">
        <v>11.531508551757579</v>
      </c>
      <c r="R36" s="1">
        <v>-10.13487082214311</v>
      </c>
      <c r="S36" s="1">
        <v>11.531508551757579</v>
      </c>
    </row>
    <row r="37" spans="11:26" ht="15.75" thickBot="1" x14ac:dyDescent="0.3">
      <c r="K37" s="2" t="s">
        <v>24</v>
      </c>
      <c r="L37" s="2">
        <v>18.532328318696905</v>
      </c>
      <c r="M37" s="2">
        <v>0.69969185276414891</v>
      </c>
      <c r="N37" s="2">
        <v>26.486414334373784</v>
      </c>
      <c r="O37" s="2">
        <v>4.4391799104495422E-9</v>
      </c>
      <c r="P37" s="2">
        <v>16.918836012854111</v>
      </c>
      <c r="Q37" s="2">
        <v>20.145820624539699</v>
      </c>
      <c r="R37" s="2">
        <v>16.918836012854111</v>
      </c>
      <c r="S37" s="2">
        <v>20.145820624539699</v>
      </c>
    </row>
    <row r="41" spans="11:26" x14ac:dyDescent="0.25">
      <c r="K41" t="s">
        <v>35</v>
      </c>
      <c r="P41" t="s">
        <v>39</v>
      </c>
    </row>
    <row r="42" spans="11:26" ht="15.75" thickBot="1" x14ac:dyDescent="0.3">
      <c r="Z42" t="s">
        <v>42</v>
      </c>
    </row>
    <row r="43" spans="11:26" x14ac:dyDescent="0.25">
      <c r="K43" s="3" t="s">
        <v>36</v>
      </c>
      <c r="L43" s="3" t="s">
        <v>37</v>
      </c>
      <c r="M43" s="3" t="s">
        <v>9</v>
      </c>
      <c r="N43" s="3" t="s">
        <v>38</v>
      </c>
      <c r="P43" s="3" t="s">
        <v>40</v>
      </c>
      <c r="Q43" s="3" t="s">
        <v>41</v>
      </c>
    </row>
    <row r="44" spans="11:26" x14ac:dyDescent="0.25">
      <c r="K44" s="1">
        <v>1</v>
      </c>
      <c r="L44" s="1">
        <v>25.346315528674118</v>
      </c>
      <c r="M44" s="1">
        <v>1.6536844713258816</v>
      </c>
      <c r="N44" s="1">
        <v>0.26699985940853965</v>
      </c>
      <c r="P44" s="1">
        <v>5</v>
      </c>
      <c r="Q44" s="1">
        <v>27</v>
      </c>
    </row>
    <row r="45" spans="11:26" x14ac:dyDescent="0.25">
      <c r="K45" s="1">
        <v>2</v>
      </c>
      <c r="L45" s="1">
        <v>50.364958758914945</v>
      </c>
      <c r="M45" s="1">
        <v>-0.36495875891494478</v>
      </c>
      <c r="N45" s="1">
        <v>-5.8925350639640058E-2</v>
      </c>
      <c r="P45" s="1">
        <v>15</v>
      </c>
      <c r="Q45" s="1">
        <v>50</v>
      </c>
    </row>
    <row r="46" spans="11:26" x14ac:dyDescent="0.25">
      <c r="K46" s="1">
        <v>3</v>
      </c>
      <c r="L46" s="1">
        <v>66.858730962555185</v>
      </c>
      <c r="M46" s="1">
        <v>0.14126903744481467</v>
      </c>
      <c r="N46" s="1">
        <v>2.2808954060204282E-2</v>
      </c>
      <c r="P46" s="1">
        <v>25</v>
      </c>
      <c r="Q46" s="1">
        <v>67</v>
      </c>
      <c r="Z46" t="s">
        <v>43</v>
      </c>
    </row>
    <row r="47" spans="11:26" x14ac:dyDescent="0.25">
      <c r="K47" s="1">
        <v>4</v>
      </c>
      <c r="L47" s="1">
        <v>83.352503166195433</v>
      </c>
      <c r="M47" s="1">
        <v>-0.35250316619543298</v>
      </c>
      <c r="N47" s="1">
        <v>-5.691430103336706E-2</v>
      </c>
      <c r="P47" s="1">
        <v>35</v>
      </c>
      <c r="Q47" s="1">
        <v>83</v>
      </c>
    </row>
    <row r="48" spans="11:26" x14ac:dyDescent="0.25">
      <c r="K48" s="1">
        <v>5</v>
      </c>
      <c r="L48" s="1">
        <v>99.846275369835666</v>
      </c>
      <c r="M48" s="1">
        <v>1.1537246301643336</v>
      </c>
      <c r="N48" s="1">
        <v>0.18627756345989296</v>
      </c>
      <c r="P48" s="1">
        <v>45</v>
      </c>
      <c r="Q48" s="1">
        <v>101</v>
      </c>
    </row>
    <row r="49" spans="11:17" x14ac:dyDescent="0.25">
      <c r="K49" s="1">
        <v>6</v>
      </c>
      <c r="L49" s="1">
        <v>116.34004757347593</v>
      </c>
      <c r="M49" s="1">
        <v>0.65995242652407171</v>
      </c>
      <c r="N49" s="1">
        <v>0.10655430836631932</v>
      </c>
      <c r="P49" s="1">
        <v>55</v>
      </c>
      <c r="Q49" s="1">
        <v>117</v>
      </c>
    </row>
    <row r="50" spans="11:17" x14ac:dyDescent="0.25">
      <c r="K50" s="1">
        <v>7</v>
      </c>
      <c r="L50" s="1">
        <v>133.01914306030312</v>
      </c>
      <c r="M50" s="1">
        <v>0.98085693969687782</v>
      </c>
      <c r="N50" s="1">
        <v>0.15836676798989424</v>
      </c>
      <c r="P50" s="1">
        <v>65</v>
      </c>
      <c r="Q50" s="1">
        <v>134</v>
      </c>
    </row>
    <row r="51" spans="11:17" x14ac:dyDescent="0.25">
      <c r="K51" s="1">
        <v>8</v>
      </c>
      <c r="L51" s="1">
        <v>166.19201075077058</v>
      </c>
      <c r="M51" s="1">
        <v>-16.192010750770578</v>
      </c>
      <c r="N51" s="1">
        <v>-2.6143225439681514</v>
      </c>
      <c r="P51" s="1">
        <v>75</v>
      </c>
      <c r="Q51" s="1">
        <v>150</v>
      </c>
    </row>
    <row r="52" spans="11:17" x14ac:dyDescent="0.25">
      <c r="K52" s="1">
        <v>9</v>
      </c>
      <c r="L52" s="1">
        <v>182.68578295441085</v>
      </c>
      <c r="M52" s="1">
        <v>5.314217045589146</v>
      </c>
      <c r="N52" s="1">
        <v>0.85802051639339227</v>
      </c>
      <c r="P52" s="1">
        <v>85</v>
      </c>
      <c r="Q52" s="1">
        <v>188</v>
      </c>
    </row>
    <row r="53" spans="11:17" ht="15.75" thickBot="1" x14ac:dyDescent="0.3">
      <c r="K53" s="2">
        <v>10</v>
      </c>
      <c r="L53" s="2">
        <v>198.99423187486411</v>
      </c>
      <c r="M53" s="2">
        <v>7.0057681251358872</v>
      </c>
      <c r="N53" s="2">
        <v>1.1311342259629251</v>
      </c>
      <c r="P53" s="2">
        <v>95</v>
      </c>
      <c r="Q53" s="2">
        <v>206</v>
      </c>
    </row>
    <row r="56" spans="11:17" x14ac:dyDescent="0.25">
      <c r="M56" t="s">
        <v>44</v>
      </c>
      <c r="N56">
        <f>AVERAGE(M44:M53)</f>
        <v>5.6843418860808018E-15</v>
      </c>
      <c r="O56" t="s">
        <v>45</v>
      </c>
    </row>
  </sheetData>
  <sortState xmlns:xlrd2="http://schemas.microsoft.com/office/spreadsheetml/2017/richdata2" ref="Q44:Q53">
    <sortCondition ref="Q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2025-06-08T12:26:57Z</dcterms:created>
  <dcterms:modified xsi:type="dcterms:W3CDTF">2025-06-08T13:18:22Z</dcterms:modified>
</cp:coreProperties>
</file>