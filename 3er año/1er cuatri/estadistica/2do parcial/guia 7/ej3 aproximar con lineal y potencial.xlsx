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o\Desktop\FACU\3er año\1er cuatri\estadistica\2do parcial\guia7\"/>
    </mc:Choice>
  </mc:AlternateContent>
  <xr:revisionPtr revIDLastSave="0" documentId="8_{B16CF2F8-7E35-488C-A385-611F11ADDC29}" xr6:coauthVersionLast="47" xr6:coauthVersionMax="47" xr10:uidLastSave="{00000000-0000-0000-0000-000000000000}"/>
  <bookViews>
    <workbookView xWindow="-120" yWindow="-120" windowWidth="29040" windowHeight="15840" xr2:uid="{C508C980-C9E1-4FF4-B4A6-093A21FBEC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3" i="1"/>
  <c r="C4" i="1"/>
  <c r="C5" i="1"/>
  <c r="C6" i="1"/>
  <c r="C7" i="1"/>
  <c r="C8" i="1"/>
  <c r="C9" i="1"/>
  <c r="C10" i="1"/>
  <c r="C11" i="1"/>
  <c r="C12" i="1"/>
  <c r="C3" i="1"/>
</calcChain>
</file>

<file path=xl/sharedStrings.xml><?xml version="1.0" encoding="utf-8"?>
<sst xmlns="http://schemas.openxmlformats.org/spreadsheetml/2006/main" count="33" uniqueCount="32">
  <si>
    <t>h(cm)</t>
  </si>
  <si>
    <t>Q(m2/s)</t>
  </si>
  <si>
    <t>Se dispone de valores de alturas hidrométricas y caudales en Villa Independencia, Carlos Paz. Tener en cuenta que la relación entre alturas y caudales es Q = khb y puede linelizarse considerando la relación entre ln(Q) y ln(h).</t>
  </si>
  <si>
    <t>Resumen</t>
  </si>
  <si>
    <t>Estadísticas de la regresión</t>
  </si>
  <si>
    <t>Coeficiente de correlación múltiple</t>
  </si>
  <si>
    <t>Coeficiente de determinación R^2</t>
  </si>
  <si>
    <t>R^2  ajustado</t>
  </si>
  <si>
    <t>Error típico</t>
  </si>
  <si>
    <t>Observaciones</t>
  </si>
  <si>
    <t>ANÁLISIS DE VARIANZA</t>
  </si>
  <si>
    <t>Regresión</t>
  </si>
  <si>
    <t>Residuos</t>
  </si>
  <si>
    <t>Total</t>
  </si>
  <si>
    <t>Intercepción</t>
  </si>
  <si>
    <t>Grados de libertad</t>
  </si>
  <si>
    <t>Suma de cuadrados</t>
  </si>
  <si>
    <t>Promedio de los cuadrados</t>
  </si>
  <si>
    <t>F</t>
  </si>
  <si>
    <t>Valor crítico de F</t>
  </si>
  <si>
    <t>Coeficientes</t>
  </si>
  <si>
    <t>Estadístico t</t>
  </si>
  <si>
    <t>Probabilidad</t>
  </si>
  <si>
    <t>Inferior 95%</t>
  </si>
  <si>
    <t>Superior 95%</t>
  </si>
  <si>
    <t>Inferior 95.0%</t>
  </si>
  <si>
    <t>Superior 95.0%</t>
  </si>
  <si>
    <t>Variable X 1</t>
  </si>
  <si>
    <t>ln(h)</t>
  </si>
  <si>
    <t>ln(Q)</t>
  </si>
  <si>
    <r>
      <rPr>
        <sz val="11"/>
        <color rgb="FFFF0000"/>
        <rFont val="Aptos Narrow"/>
        <family val="2"/>
        <scheme val="minor"/>
      </rPr>
      <t>b)</t>
    </r>
    <r>
      <rPr>
        <sz val="11"/>
        <color theme="1"/>
        <rFont val="Aptos Narrow"/>
        <family val="2"/>
        <scheme val="minor"/>
      </rPr>
      <t xml:space="preserve"> Pronosticar el caudal para una altura hidrométrica de 4 m.</t>
    </r>
  </si>
  <si>
    <t>y=0.2*400^1.684=4818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</si>
</sst>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Lineal con LN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xVal>
            <c:numRef>
              <c:f>Hoja1!$C$3:$C$12</c:f>
              <c:numCache>
                <c:formatCode>General</c:formatCode>
                <c:ptCount val="10"/>
                <c:pt idx="0">
                  <c:v>2.7080502011022101</c:v>
                </c:pt>
                <c:pt idx="1">
                  <c:v>3.4011973816621555</c:v>
                </c:pt>
                <c:pt idx="2">
                  <c:v>3.8066624897703196</c:v>
                </c:pt>
                <c:pt idx="3">
                  <c:v>4.0943445622221004</c:v>
                </c:pt>
                <c:pt idx="4">
                  <c:v>4.3174881135363101</c:v>
                </c:pt>
                <c:pt idx="5">
                  <c:v>4.499809670330265</c:v>
                </c:pt>
                <c:pt idx="6">
                  <c:v>4.7874917427820458</c:v>
                </c:pt>
                <c:pt idx="7">
                  <c:v>5.0106352940962555</c:v>
                </c:pt>
                <c:pt idx="8">
                  <c:v>5.1929568508902104</c:v>
                </c:pt>
                <c:pt idx="9">
                  <c:v>5.2983173665480363</c:v>
                </c:pt>
              </c:numCache>
            </c:numRef>
          </c:xVal>
          <c:yVal>
            <c:numRef>
              <c:f>Hoja1!$D$3:$D$12</c:f>
              <c:numCache>
                <c:formatCode>General</c:formatCode>
                <c:ptCount val="10"/>
                <c:pt idx="0">
                  <c:v>2.9512577834521614</c:v>
                </c:pt>
                <c:pt idx="1">
                  <c:v>4.1183865567023386</c:v>
                </c:pt>
                <c:pt idx="2">
                  <c:v>4.8011480692295319</c:v>
                </c:pt>
                <c:pt idx="3">
                  <c:v>5.2856373133906622</c:v>
                </c:pt>
                <c:pt idx="4">
                  <c:v>5.6614315341156711</c:v>
                </c:pt>
                <c:pt idx="5">
                  <c:v>5.9684773544619745</c:v>
                </c:pt>
                <c:pt idx="6">
                  <c:v>6.4529633627369209</c:v>
                </c:pt>
                <c:pt idx="7">
                  <c:v>6.8287445386470926</c:v>
                </c:pt>
                <c:pt idx="8">
                  <c:v>7.1357908448567722</c:v>
                </c:pt>
                <c:pt idx="9">
                  <c:v>7.3132203870903014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EC-4609-A688-26F0723B8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1117935"/>
        <c:axId val="1541121295"/>
      </c:scatterChart>
      <c:valAx>
        <c:axId val="1541117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41121295"/>
        <c:crosses val="autoZero"/>
        <c:crossBetween val="midCat"/>
      </c:valAx>
      <c:valAx>
        <c:axId val="154112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41117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Potencial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xVal>
            <c:numRef>
              <c:f>Hoja1!$A$3:$A$12</c:f>
              <c:numCache>
                <c:formatCode>General</c:formatCode>
                <c:ptCount val="10"/>
                <c:pt idx="0">
                  <c:v>15</c:v>
                </c:pt>
                <c:pt idx="1">
                  <c:v>30</c:v>
                </c:pt>
                <c:pt idx="2">
                  <c:v>45</c:v>
                </c:pt>
                <c:pt idx="3">
                  <c:v>60</c:v>
                </c:pt>
                <c:pt idx="4">
                  <c:v>75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  <c:pt idx="9">
                  <c:v>200</c:v>
                </c:pt>
              </c:numCache>
            </c:numRef>
          </c:xVal>
          <c:yVal>
            <c:numRef>
              <c:f>Hoja1!$B$3:$B$12</c:f>
              <c:numCache>
                <c:formatCode>General</c:formatCode>
                <c:ptCount val="10"/>
                <c:pt idx="0">
                  <c:v>19.13</c:v>
                </c:pt>
                <c:pt idx="1">
                  <c:v>61.46</c:v>
                </c:pt>
                <c:pt idx="2">
                  <c:v>121.65</c:v>
                </c:pt>
                <c:pt idx="3">
                  <c:v>197.48</c:v>
                </c:pt>
                <c:pt idx="4">
                  <c:v>287.56</c:v>
                </c:pt>
                <c:pt idx="5">
                  <c:v>390.91</c:v>
                </c:pt>
                <c:pt idx="6">
                  <c:v>634.58000000000004</c:v>
                </c:pt>
                <c:pt idx="7">
                  <c:v>924.03</c:v>
                </c:pt>
                <c:pt idx="8">
                  <c:v>1256.1300000000001</c:v>
                </c:pt>
                <c:pt idx="9">
                  <c:v>1500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55-4E52-B23C-9842283E5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6330655"/>
        <c:axId val="1756325375"/>
      </c:scatterChart>
      <c:valAx>
        <c:axId val="1756330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56325375"/>
        <c:crosses val="autoZero"/>
        <c:crossBetween val="midCat"/>
      </c:valAx>
      <c:valAx>
        <c:axId val="175632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56330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13</xdr:row>
      <xdr:rowOff>14287</xdr:rowOff>
    </xdr:from>
    <xdr:to>
      <xdr:col>8</xdr:col>
      <xdr:colOff>209550</xdr:colOff>
      <xdr:row>27</xdr:row>
      <xdr:rowOff>52387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AAAE68E-A146-FC13-079C-7FA52ACE1D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323850</xdr:colOff>
      <xdr:row>13</xdr:row>
      <xdr:rowOff>14287</xdr:rowOff>
    </xdr:from>
    <xdr:to>
      <xdr:col>14</xdr:col>
      <xdr:colOff>323850</xdr:colOff>
      <xdr:row>27</xdr:row>
      <xdr:rowOff>71437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1453427-E230-425C-D292-B92D5D9D97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4BAB8-1A99-4959-806D-38E66731B44D}">
  <dimension ref="A1:I36"/>
  <sheetViews>
    <sheetView tabSelected="1" workbookViewId="0">
      <selection activeCell="F8" sqref="F8"/>
    </sheetView>
  </sheetViews>
  <sheetFormatPr baseColWidth="10" defaultRowHeight="15" x14ac:dyDescent="0.25"/>
  <sheetData>
    <row r="1" spans="1:6" x14ac:dyDescent="0.25">
      <c r="A1" t="s">
        <v>2</v>
      </c>
    </row>
    <row r="2" spans="1:6" x14ac:dyDescent="0.25">
      <c r="A2" t="s">
        <v>0</v>
      </c>
      <c r="B2" t="s">
        <v>1</v>
      </c>
      <c r="C2" t="s">
        <v>28</v>
      </c>
      <c r="D2" t="s">
        <v>29</v>
      </c>
    </row>
    <row r="3" spans="1:6" x14ac:dyDescent="0.25">
      <c r="A3">
        <v>15</v>
      </c>
      <c r="B3">
        <v>19.13</v>
      </c>
      <c r="C3">
        <f>LN(A3)</f>
        <v>2.7080502011022101</v>
      </c>
      <c r="D3">
        <f>LN(B3)</f>
        <v>2.9512577834521614</v>
      </c>
    </row>
    <row r="4" spans="1:6" x14ac:dyDescent="0.25">
      <c r="A4">
        <v>30</v>
      </c>
      <c r="B4">
        <v>61.46</v>
      </c>
      <c r="C4">
        <f t="shared" ref="C4:C12" si="0">LN(A4)</f>
        <v>3.4011973816621555</v>
      </c>
      <c r="D4">
        <f t="shared" ref="D4:D12" si="1">LN(B4)</f>
        <v>4.1183865567023386</v>
      </c>
      <c r="F4" t="s">
        <v>30</v>
      </c>
    </row>
    <row r="5" spans="1:6" x14ac:dyDescent="0.25">
      <c r="A5">
        <v>45</v>
      </c>
      <c r="B5">
        <v>121.65</v>
      </c>
      <c r="C5">
        <f t="shared" si="0"/>
        <v>3.8066624897703196</v>
      </c>
      <c r="D5">
        <f t="shared" si="1"/>
        <v>4.8011480692295319</v>
      </c>
      <c r="F5" t="s">
        <v>31</v>
      </c>
    </row>
    <row r="6" spans="1:6" x14ac:dyDescent="0.25">
      <c r="A6">
        <v>60</v>
      </c>
      <c r="B6">
        <v>197.48</v>
      </c>
      <c r="C6">
        <f t="shared" si="0"/>
        <v>4.0943445622221004</v>
      </c>
      <c r="D6">
        <f t="shared" si="1"/>
        <v>5.2856373133906622</v>
      </c>
    </row>
    <row r="7" spans="1:6" x14ac:dyDescent="0.25">
      <c r="A7">
        <v>75</v>
      </c>
      <c r="B7">
        <v>287.56</v>
      </c>
      <c r="C7">
        <f t="shared" si="0"/>
        <v>4.3174881135363101</v>
      </c>
      <c r="D7">
        <f t="shared" si="1"/>
        <v>5.6614315341156711</v>
      </c>
    </row>
    <row r="8" spans="1:6" x14ac:dyDescent="0.25">
      <c r="A8">
        <v>90</v>
      </c>
      <c r="B8">
        <v>390.91</v>
      </c>
      <c r="C8">
        <f t="shared" si="0"/>
        <v>4.499809670330265</v>
      </c>
      <c r="D8">
        <f t="shared" si="1"/>
        <v>5.9684773544619745</v>
      </c>
    </row>
    <row r="9" spans="1:6" x14ac:dyDescent="0.25">
      <c r="A9">
        <v>120</v>
      </c>
      <c r="B9">
        <v>634.58000000000004</v>
      </c>
      <c r="C9">
        <f t="shared" si="0"/>
        <v>4.7874917427820458</v>
      </c>
      <c r="D9">
        <f t="shared" si="1"/>
        <v>6.4529633627369209</v>
      </c>
    </row>
    <row r="10" spans="1:6" x14ac:dyDescent="0.25">
      <c r="A10">
        <v>150</v>
      </c>
      <c r="B10">
        <v>924.03</v>
      </c>
      <c r="C10">
        <f t="shared" si="0"/>
        <v>5.0106352940962555</v>
      </c>
      <c r="D10">
        <f t="shared" si="1"/>
        <v>6.8287445386470926</v>
      </c>
    </row>
    <row r="11" spans="1:6" x14ac:dyDescent="0.25">
      <c r="A11">
        <v>180</v>
      </c>
      <c r="B11">
        <v>1256.1300000000001</v>
      </c>
      <c r="C11">
        <f t="shared" si="0"/>
        <v>5.1929568508902104</v>
      </c>
      <c r="D11">
        <f t="shared" si="1"/>
        <v>7.1357908448567722</v>
      </c>
    </row>
    <row r="12" spans="1:6" x14ac:dyDescent="0.25">
      <c r="A12">
        <v>200</v>
      </c>
      <c r="B12">
        <v>1500</v>
      </c>
      <c r="C12">
        <f t="shared" si="0"/>
        <v>5.2983173665480363</v>
      </c>
      <c r="D12">
        <f t="shared" si="1"/>
        <v>7.3132203870903014</v>
      </c>
    </row>
    <row r="19" spans="1:6" x14ac:dyDescent="0.25">
      <c r="A19" t="s">
        <v>3</v>
      </c>
    </row>
    <row r="20" spans="1:6" ht="15.75" thickBot="1" x14ac:dyDescent="0.3"/>
    <row r="21" spans="1:6" x14ac:dyDescent="0.25">
      <c r="A21" s="4" t="s">
        <v>4</v>
      </c>
      <c r="B21" s="4"/>
    </row>
    <row r="22" spans="1:6" x14ac:dyDescent="0.25">
      <c r="A22" s="1" t="s">
        <v>5</v>
      </c>
      <c r="B22" s="1">
        <v>0.98600852800484473</v>
      </c>
    </row>
    <row r="23" spans="1:6" x14ac:dyDescent="0.25">
      <c r="A23" s="1" t="s">
        <v>6</v>
      </c>
      <c r="B23" s="1">
        <v>0.97221281729828057</v>
      </c>
    </row>
    <row r="24" spans="1:6" x14ac:dyDescent="0.25">
      <c r="A24" s="1" t="s">
        <v>7</v>
      </c>
      <c r="B24" s="1">
        <v>0.96873941946056563</v>
      </c>
    </row>
    <row r="25" spans="1:6" x14ac:dyDescent="0.25">
      <c r="A25" s="1" t="s">
        <v>8</v>
      </c>
      <c r="B25" s="1">
        <v>92.614310771447251</v>
      </c>
    </row>
    <row r="26" spans="1:6" ht="15.75" thickBot="1" x14ac:dyDescent="0.3">
      <c r="A26" s="2" t="s">
        <v>9</v>
      </c>
      <c r="B26" s="2">
        <v>10</v>
      </c>
    </row>
    <row r="28" spans="1:6" ht="15.75" thickBot="1" x14ac:dyDescent="0.3">
      <c r="A28" t="s">
        <v>10</v>
      </c>
    </row>
    <row r="29" spans="1:6" x14ac:dyDescent="0.25">
      <c r="A29" s="3"/>
      <c r="B29" s="3" t="s">
        <v>15</v>
      </c>
      <c r="C29" s="3" t="s">
        <v>16</v>
      </c>
      <c r="D29" s="3" t="s">
        <v>17</v>
      </c>
      <c r="E29" s="3" t="s">
        <v>18</v>
      </c>
      <c r="F29" s="3" t="s">
        <v>19</v>
      </c>
    </row>
    <row r="30" spans="1:6" x14ac:dyDescent="0.25">
      <c r="A30" s="1" t="s">
        <v>11</v>
      </c>
      <c r="B30" s="1">
        <v>1</v>
      </c>
      <c r="C30" s="1">
        <v>2400838.8543326384</v>
      </c>
      <c r="D30" s="1">
        <v>2400838.8543326384</v>
      </c>
      <c r="E30" s="1">
        <v>279.90252275215181</v>
      </c>
      <c r="F30" s="1">
        <v>1.6486225052656525E-7</v>
      </c>
    </row>
    <row r="31" spans="1:6" x14ac:dyDescent="0.25">
      <c r="A31" s="1" t="s">
        <v>12</v>
      </c>
      <c r="B31" s="1">
        <v>8</v>
      </c>
      <c r="C31" s="1">
        <v>68619.284477361682</v>
      </c>
      <c r="D31" s="1">
        <v>8577.4105596702102</v>
      </c>
      <c r="E31" s="1"/>
      <c r="F31" s="1"/>
    </row>
    <row r="32" spans="1:6" ht="15.75" thickBot="1" x14ac:dyDescent="0.3">
      <c r="A32" s="2" t="s">
        <v>13</v>
      </c>
      <c r="B32" s="2">
        <v>9</v>
      </c>
      <c r="C32" s="2">
        <v>2469458.1388099999</v>
      </c>
      <c r="D32" s="2"/>
      <c r="E32" s="2"/>
      <c r="F32" s="2"/>
    </row>
    <row r="33" spans="1:9" ht="15.75" thickBot="1" x14ac:dyDescent="0.3"/>
    <row r="34" spans="1:9" x14ac:dyDescent="0.25">
      <c r="A34" s="3"/>
      <c r="B34" s="3" t="s">
        <v>20</v>
      </c>
      <c r="C34" s="3" t="s">
        <v>8</v>
      </c>
      <c r="D34" s="3" t="s">
        <v>21</v>
      </c>
      <c r="E34" s="3" t="s">
        <v>22</v>
      </c>
      <c r="F34" s="3" t="s">
        <v>23</v>
      </c>
      <c r="G34" s="3" t="s">
        <v>24</v>
      </c>
      <c r="H34" s="3" t="s">
        <v>25</v>
      </c>
      <c r="I34" s="3" t="s">
        <v>26</v>
      </c>
    </row>
    <row r="35" spans="1:9" x14ac:dyDescent="0.25">
      <c r="A35" s="1" t="s">
        <v>14</v>
      </c>
      <c r="B35" s="1">
        <v>-241.71776072573505</v>
      </c>
      <c r="C35" s="1">
        <v>55.10890942406035</v>
      </c>
      <c r="D35" s="1">
        <v>-4.3861829829679397</v>
      </c>
      <c r="E35" s="1">
        <v>2.3294182840674694E-3</v>
      </c>
      <c r="F35" s="1">
        <v>-368.79913374421011</v>
      </c>
      <c r="G35" s="1">
        <v>-114.63638770725998</v>
      </c>
      <c r="H35" s="1">
        <v>-368.79913374421011</v>
      </c>
      <c r="I35" s="1">
        <v>-114.63638770725998</v>
      </c>
    </row>
    <row r="36" spans="1:9" ht="15.75" thickBot="1" x14ac:dyDescent="0.3">
      <c r="A36" s="2" t="s">
        <v>27</v>
      </c>
      <c r="B36" s="2">
        <v>8.0933757588159079</v>
      </c>
      <c r="C36" s="2">
        <v>0.48375592568910297</v>
      </c>
      <c r="D36" s="2">
        <v>16.730287587251809</v>
      </c>
      <c r="E36" s="2">
        <v>1.6486225052656493E-7</v>
      </c>
      <c r="F36" s="2">
        <v>6.9778325937473165</v>
      </c>
      <c r="G36" s="2">
        <v>9.2089189238844984</v>
      </c>
      <c r="H36" s="2">
        <v>6.9778325937473165</v>
      </c>
      <c r="I36" s="2">
        <v>9.2089189238844984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justo</dc:creator>
  <cp:lastModifiedBy>justo</cp:lastModifiedBy>
  <dcterms:created xsi:type="dcterms:W3CDTF">2025-06-08T14:08:49Z</dcterms:created>
  <dcterms:modified xsi:type="dcterms:W3CDTF">2025-06-08T14:35:46Z</dcterms:modified>
</cp:coreProperties>
</file>