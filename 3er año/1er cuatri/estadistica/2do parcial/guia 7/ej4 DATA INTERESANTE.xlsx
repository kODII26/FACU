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7\"/>
    </mc:Choice>
  </mc:AlternateContent>
  <xr:revisionPtr revIDLastSave="0" documentId="13_ncr:1_{426C36A2-B517-42F9-B9B9-2860B8B8F23E}" xr6:coauthVersionLast="47" xr6:coauthVersionMax="47" xr10:uidLastSave="{00000000-0000-0000-0000-000000000000}"/>
  <bookViews>
    <workbookView xWindow="-120" yWindow="-120" windowWidth="29040" windowHeight="15840" xr2:uid="{5F304C9A-2126-4A00-80F6-9CC84247FC49}"/>
  </bookViews>
  <sheets>
    <sheet name="Hoja1" sheetId="1" r:id="rId1"/>
  </sheets>
  <definedNames>
    <definedName name="_xlchart.v1.0" hidden="1">Hoja1!$C$44:$C$53</definedName>
    <definedName name="_xlchart.v1.1" hidden="1">Hoja1!$C$44:$C$53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3" i="1"/>
</calcChain>
</file>

<file path=xl/sharedStrings.xml><?xml version="1.0" encoding="utf-8"?>
<sst xmlns="http://schemas.openxmlformats.org/spreadsheetml/2006/main" count="80" uniqueCount="53">
  <si>
    <t>Se cuenta con datos de medidas de la descarga de un río y los correspondientes niveles de altura.</t>
  </si>
  <si>
    <t>xi (m)</t>
  </si>
  <si>
    <t>yi (m3 /seg)</t>
  </si>
  <si>
    <r>
      <rPr>
        <sz val="11"/>
        <color rgb="FFFF0000"/>
        <rFont val="Aptos Narrow"/>
        <family val="2"/>
        <scheme val="minor"/>
      </rPr>
      <t>a)</t>
    </r>
    <r>
      <rPr>
        <sz val="11"/>
        <color theme="1"/>
        <rFont val="Aptos Narrow"/>
        <family val="2"/>
        <scheme val="minor"/>
      </rPr>
      <t xml:space="preserve"> Ajustar un modelo lineal.</t>
    </r>
  </si>
  <si>
    <t>hacer el grafico</t>
  </si>
  <si>
    <r>
      <rPr>
        <sz val="11"/>
        <color rgb="FFFF0000"/>
        <rFont val="Aptos Narrow"/>
        <family val="2"/>
        <scheme val="minor"/>
      </rPr>
      <t>b)</t>
    </r>
    <r>
      <rPr>
        <sz val="11"/>
        <color theme="1"/>
        <rFont val="Aptos Narrow"/>
        <family val="2"/>
        <scheme val="minor"/>
      </rPr>
      <t xml:space="preserve"> Ajustar un modelo de tipo polinómico con más términos que en (a).</t>
    </r>
  </si>
  <si>
    <r>
      <rPr>
        <sz val="11"/>
        <color rgb="FFFF0000"/>
        <rFont val="Aptos Narrow"/>
        <family val="2"/>
        <scheme val="minor"/>
      </rPr>
      <t>d)</t>
    </r>
    <r>
      <rPr>
        <sz val="11"/>
        <color theme="1"/>
        <rFont val="Aptos Narrow"/>
        <family val="2"/>
        <scheme val="minor"/>
      </rPr>
      <t xml:space="preserve"> Calcular los límites de confianza de los parámetros de la regresión lineal.</t>
    </r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</si>
  <si>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</si>
  <si>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</si>
  <si>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</si>
  <si>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</si>
  <si>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</si>
  <si>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</si>
  <si>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</si>
  <si>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</si>
  <si>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</si>
  <si>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</si>
  <si>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</si>
  <si>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</si>
  <si>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</si>
  <si>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</si>
  <si>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</si>
  <si>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</si>
  <si>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</si>
  <si>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</si>
  <si>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</si>
  <si>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</si>
  <si>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</si>
  <si>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</si>
  <si>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95.0%</t>
  </si>
  <si>
    <t>Superior 95.0%</t>
  </si>
  <si>
    <t>Variable X 1</t>
  </si>
  <si>
    <t>Análisis de los residuales</t>
  </si>
  <si>
    <t>Observación</t>
  </si>
  <si>
    <t>Pronóstico para Y</t>
  </si>
  <si>
    <t>Residuos estándares</t>
  </si>
  <si>
    <t>Resultados de datos de probabilidad</t>
  </si>
  <si>
    <t>Percentil</t>
  </si>
  <si>
    <t>Y</t>
  </si>
  <si>
    <t>grafico</t>
  </si>
  <si>
    <t>IC del 95% para α (intersección con el eje y): (-990.258, -465.289)</t>
  </si>
  <si>
    <t xml:space="preserve"> IC del 95% para β (pendiente de la recta): (344.444, 508.228)</t>
  </si>
  <si>
    <r>
      <rPr>
        <sz val="11"/>
        <color rgb="FFFF0000"/>
        <rFont val="Aptos Narrow"/>
        <family val="2"/>
        <scheme val="minor"/>
      </rPr>
      <t>c)</t>
    </r>
    <r>
      <rPr>
        <sz val="11"/>
        <color theme="1"/>
        <rFont val="Aptos Narrow"/>
        <family val="2"/>
        <scheme val="minor"/>
      </rPr>
      <t xml:space="preserve"> Obtener en ambos casos una medida que brinde el grado de bondad del ajuste.</t>
    </r>
  </si>
  <si>
    <t>Para el caso cuadrático se considera r 2 ≈ 0.95. Para el caso lineal se toma r ≈ 0, 97.</t>
  </si>
  <si>
    <r>
      <rPr>
        <sz val="11"/>
        <color rgb="FFFF0000"/>
        <rFont val="Aptos Narrow"/>
        <family val="2"/>
        <scheme val="minor"/>
      </rPr>
      <t>e)</t>
    </r>
    <r>
      <rPr>
        <sz val="11"/>
        <color theme="1"/>
        <rFont val="Aptos Narrow"/>
        <family val="2"/>
        <scheme val="minor"/>
      </rPr>
      <t xml:space="preserve"> Obtener una conclusión del análisis realizado.</t>
    </r>
  </si>
  <si>
    <t>x2</t>
  </si>
  <si>
    <t>Variable X 2</t>
  </si>
  <si>
    <t>VALOR P</t>
  </si>
  <si>
    <t xml:space="preserve">P VALOR </t>
  </si>
  <si>
    <t>El coeficiente de determinación R2R^2R2 para ambos modelos es muy similar y elevado (aproximadamente 0.947), lo cual indica que cerca del 94.7% de la variabilidad observada en los valores de yyy puede explicarse mediante los valores de xxx</t>
  </si>
  <si>
    <r>
      <t xml:space="preserve">Esto implica que </t>
    </r>
    <r>
      <rPr>
        <b/>
        <sz val="11"/>
        <color theme="1"/>
        <rFont val="Aptos Narrow"/>
        <family val="2"/>
        <scheme val="minor"/>
      </rPr>
      <t>ambos modelos son adecuados</t>
    </r>
    <r>
      <rPr>
        <sz val="11"/>
        <color theme="1"/>
        <rFont val="Aptos Narrow"/>
        <family val="2"/>
        <scheme val="minor"/>
      </rPr>
      <t xml:space="preserve"> desde el punto de vista estadístico para representar la relación entre las variables.</t>
    </r>
  </si>
  <si>
    <t>, se observa que el coeficiente correspondiente al término x2x^2x2 no resulta estadísticamente significativo (valor p ≈ 0.967)</t>
  </si>
  <si>
    <r>
      <t xml:space="preserve">En otras palabras, </t>
    </r>
    <r>
      <rPr>
        <b/>
        <sz val="11"/>
        <color theme="1"/>
        <rFont val="Aptos Narrow"/>
        <family val="2"/>
        <scheme val="minor"/>
      </rPr>
      <t>la incorporación del término cuadrático no mejora de manera significativa la capacidad predictiva del modelo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</si>
</sst>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inciso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Hoja1!$A$3:$A$12</c:f>
              <c:numCache>
                <c:formatCode>General</c:formatCode>
                <c:ptCount val="10"/>
                <c:pt idx="0">
                  <c:v>1.98</c:v>
                </c:pt>
                <c:pt idx="1">
                  <c:v>2.1</c:v>
                </c:pt>
                <c:pt idx="2">
                  <c:v>2.25</c:v>
                </c:pt>
                <c:pt idx="3">
                  <c:v>2.7</c:v>
                </c:pt>
                <c:pt idx="4">
                  <c:v>3.05</c:v>
                </c:pt>
                <c:pt idx="5">
                  <c:v>3.3</c:v>
                </c:pt>
                <c:pt idx="6">
                  <c:v>3.35</c:v>
                </c:pt>
                <c:pt idx="7">
                  <c:v>3.95</c:v>
                </c:pt>
                <c:pt idx="8">
                  <c:v>4.12</c:v>
                </c:pt>
                <c:pt idx="9">
                  <c:v>4.25</c:v>
                </c:pt>
              </c:numCache>
            </c:numRef>
          </c:xVal>
          <c:yVal>
            <c:numRef>
              <c:f>Hoja1!$C$3:$C$12</c:f>
              <c:numCache>
                <c:formatCode>General</c:formatCode>
                <c:ptCount val="10"/>
                <c:pt idx="0">
                  <c:v>150</c:v>
                </c:pt>
                <c:pt idx="1">
                  <c:v>144</c:v>
                </c:pt>
                <c:pt idx="2">
                  <c:v>205</c:v>
                </c:pt>
                <c:pt idx="3">
                  <c:v>388</c:v>
                </c:pt>
                <c:pt idx="4">
                  <c:v>750</c:v>
                </c:pt>
                <c:pt idx="5">
                  <c:v>653</c:v>
                </c:pt>
                <c:pt idx="6">
                  <c:v>580</c:v>
                </c:pt>
                <c:pt idx="7">
                  <c:v>920</c:v>
                </c:pt>
                <c:pt idx="8">
                  <c:v>1130</c:v>
                </c:pt>
                <c:pt idx="9">
                  <c:v>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6-48A8-996B-EFA1B8394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845279"/>
        <c:axId val="1545847199"/>
      </c:scatterChart>
      <c:valAx>
        <c:axId val="154584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45847199"/>
        <c:crosses val="autoZero"/>
        <c:crossBetween val="midCat"/>
      </c:valAx>
      <c:valAx>
        <c:axId val="154584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4584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Variable X 1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Hoja1!$A$3:$A$12</c:f>
              <c:numCache>
                <c:formatCode>General</c:formatCode>
                <c:ptCount val="10"/>
                <c:pt idx="0">
                  <c:v>1.98</c:v>
                </c:pt>
                <c:pt idx="1">
                  <c:v>2.1</c:v>
                </c:pt>
                <c:pt idx="2">
                  <c:v>2.25</c:v>
                </c:pt>
                <c:pt idx="3">
                  <c:v>2.7</c:v>
                </c:pt>
                <c:pt idx="4">
                  <c:v>3.05</c:v>
                </c:pt>
                <c:pt idx="5">
                  <c:v>3.3</c:v>
                </c:pt>
                <c:pt idx="6">
                  <c:v>3.35</c:v>
                </c:pt>
                <c:pt idx="7">
                  <c:v>3.95</c:v>
                </c:pt>
                <c:pt idx="8">
                  <c:v>4.12</c:v>
                </c:pt>
                <c:pt idx="9">
                  <c:v>4.25</c:v>
                </c:pt>
              </c:numCache>
            </c:numRef>
          </c:xVal>
          <c:yVal>
            <c:numRef>
              <c:f>Hoja1!$C$44:$C$53</c:f>
              <c:numCache>
                <c:formatCode>General</c:formatCode>
                <c:ptCount val="10"/>
                <c:pt idx="0">
                  <c:v>33.628144237836068</c:v>
                </c:pt>
                <c:pt idx="1">
                  <c:v>-23.532191147533126</c:v>
                </c:pt>
                <c:pt idx="2">
                  <c:v>-26.482610379244534</c:v>
                </c:pt>
                <c:pt idx="3">
                  <c:v>-35.33386807437887</c:v>
                </c:pt>
                <c:pt idx="4">
                  <c:v>177.44848705162781</c:v>
                </c:pt>
                <c:pt idx="5">
                  <c:v>-26.1355450012245</c:v>
                </c:pt>
                <c:pt idx="6">
                  <c:v>-120.45235141179523</c:v>
                </c:pt>
                <c:pt idx="7">
                  <c:v>-36.254028338640865</c:v>
                </c:pt>
                <c:pt idx="8">
                  <c:v>101.26882986541932</c:v>
                </c:pt>
                <c:pt idx="9">
                  <c:v>-44.15486680206368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2E-438B-B1E0-34080DB38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428767"/>
        <c:axId val="1534427327"/>
      </c:scatterChart>
      <c:valAx>
        <c:axId val="1534428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Variable X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4427327"/>
        <c:crosses val="autoZero"/>
        <c:crossBetween val="midCat"/>
      </c:valAx>
      <c:valAx>
        <c:axId val="15344273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442876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Gráfico de probabilidad normal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Hoja1!$F$44:$F$53</c:f>
              <c:numCache>
                <c:formatCode>General</c:formatCode>
                <c:ptCount val="10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</c:numCache>
            </c:numRef>
          </c:xVal>
          <c:yVal>
            <c:numRef>
              <c:f>Hoja1!$G$44:$G$53</c:f>
              <c:numCache>
                <c:formatCode>General</c:formatCode>
                <c:ptCount val="10"/>
                <c:pt idx="0">
                  <c:v>144</c:v>
                </c:pt>
                <c:pt idx="1">
                  <c:v>150</c:v>
                </c:pt>
                <c:pt idx="2">
                  <c:v>205</c:v>
                </c:pt>
                <c:pt idx="3">
                  <c:v>388</c:v>
                </c:pt>
                <c:pt idx="4">
                  <c:v>580</c:v>
                </c:pt>
                <c:pt idx="5">
                  <c:v>653</c:v>
                </c:pt>
                <c:pt idx="6">
                  <c:v>750</c:v>
                </c:pt>
                <c:pt idx="7">
                  <c:v>920</c:v>
                </c:pt>
                <c:pt idx="8">
                  <c:v>1040</c:v>
                </c:pt>
                <c:pt idx="9">
                  <c:v>1130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F6-4F0D-B3FC-5035E4578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440719"/>
        <c:axId val="1534427807"/>
      </c:scatterChart>
      <c:valAx>
        <c:axId val="1769440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Muestra percentil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4427807"/>
        <c:crosses val="autoZero"/>
        <c:crossBetween val="midCat"/>
      </c:valAx>
      <c:valAx>
        <c:axId val="15344278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944071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inciso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Hoja1!$A$3:$A$12</c:f>
              <c:numCache>
                <c:formatCode>General</c:formatCode>
                <c:ptCount val="10"/>
                <c:pt idx="0">
                  <c:v>1.98</c:v>
                </c:pt>
                <c:pt idx="1">
                  <c:v>2.1</c:v>
                </c:pt>
                <c:pt idx="2">
                  <c:v>2.25</c:v>
                </c:pt>
                <c:pt idx="3">
                  <c:v>2.7</c:v>
                </c:pt>
                <c:pt idx="4">
                  <c:v>3.05</c:v>
                </c:pt>
                <c:pt idx="5">
                  <c:v>3.3</c:v>
                </c:pt>
                <c:pt idx="6">
                  <c:v>3.35</c:v>
                </c:pt>
                <c:pt idx="7">
                  <c:v>3.95</c:v>
                </c:pt>
                <c:pt idx="8">
                  <c:v>4.12</c:v>
                </c:pt>
                <c:pt idx="9">
                  <c:v>4.25</c:v>
                </c:pt>
              </c:numCache>
            </c:numRef>
          </c:xVal>
          <c:yVal>
            <c:numRef>
              <c:f>Hoja1!$C$3:$C$12</c:f>
              <c:numCache>
                <c:formatCode>General</c:formatCode>
                <c:ptCount val="10"/>
                <c:pt idx="0">
                  <c:v>150</c:v>
                </c:pt>
                <c:pt idx="1">
                  <c:v>144</c:v>
                </c:pt>
                <c:pt idx="2">
                  <c:v>205</c:v>
                </c:pt>
                <c:pt idx="3">
                  <c:v>388</c:v>
                </c:pt>
                <c:pt idx="4">
                  <c:v>750</c:v>
                </c:pt>
                <c:pt idx="5">
                  <c:v>653</c:v>
                </c:pt>
                <c:pt idx="6">
                  <c:v>580</c:v>
                </c:pt>
                <c:pt idx="7">
                  <c:v>920</c:v>
                </c:pt>
                <c:pt idx="8">
                  <c:v>1130</c:v>
                </c:pt>
                <c:pt idx="9">
                  <c:v>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77-4863-B5BB-0A0978464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727855"/>
        <c:axId val="1407728335"/>
      </c:scatterChart>
      <c:valAx>
        <c:axId val="140772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7728335"/>
        <c:crosses val="autoZero"/>
        <c:crossBetween val="midCat"/>
      </c:valAx>
      <c:valAx>
        <c:axId val="140772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772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Título del gráfico</cx:v>
        </cx:txData>
      </cx:tx>
    </cx:title>
    <cx:plotArea>
      <cx:plotAreaRegion>
        <cx:series layoutId="clusteredColumn" uniqueId="{DA312446-4080-476D-A0EC-9F233BAA815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14</xdr:row>
      <xdr:rowOff>71437</xdr:rowOff>
    </xdr:from>
    <xdr:to>
      <xdr:col>8</xdr:col>
      <xdr:colOff>561975</xdr:colOff>
      <xdr:row>28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2EC597-C8D3-8A4C-677B-F97B025E4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295275</xdr:colOff>
      <xdr:row>42</xdr:row>
      <xdr:rowOff>47625</xdr:rowOff>
    </xdr:from>
    <xdr:to>
      <xdr:col>20</xdr:col>
      <xdr:colOff>295275</xdr:colOff>
      <xdr:row>52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11B17D-5D44-866B-B4C9-8F9A9F178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</xdr:colOff>
      <xdr:row>42</xdr:row>
      <xdr:rowOff>19050</xdr:rowOff>
    </xdr:from>
    <xdr:to>
      <xdr:col>14</xdr:col>
      <xdr:colOff>57150</xdr:colOff>
      <xdr:row>52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683ED97-BD88-22EA-FF07-FA2A9D841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752475</xdr:colOff>
      <xdr:row>14</xdr:row>
      <xdr:rowOff>80962</xdr:rowOff>
    </xdr:from>
    <xdr:to>
      <xdr:col>14</xdr:col>
      <xdr:colOff>752475</xdr:colOff>
      <xdr:row>28</xdr:row>
      <xdr:rowOff>138112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28CD9B5-0C8B-C515-8B2E-2F5DE898B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742950</xdr:colOff>
      <xdr:row>54</xdr:row>
      <xdr:rowOff>23812</xdr:rowOff>
    </xdr:from>
    <xdr:to>
      <xdr:col>13</xdr:col>
      <xdr:colOff>742950</xdr:colOff>
      <xdr:row>68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FB4E2B7-5FF6-093D-BEF4-87FB922653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6950" y="103870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2B3C-0AB8-4825-BF90-BAAB69B833C5}">
  <dimension ref="A1:Y53"/>
  <sheetViews>
    <sheetView tabSelected="1" topLeftCell="C1" workbookViewId="0">
      <selection activeCell="L8" sqref="L8"/>
    </sheetView>
  </sheetViews>
  <sheetFormatPr baseColWidth="10" defaultRowHeight="15" x14ac:dyDescent="0.25"/>
  <sheetData>
    <row r="1" spans="1:18" x14ac:dyDescent="0.25">
      <c r="A1" t="s">
        <v>0</v>
      </c>
    </row>
    <row r="2" spans="1:18" x14ac:dyDescent="0.25">
      <c r="A2" t="s">
        <v>1</v>
      </c>
      <c r="B2" t="s">
        <v>45</v>
      </c>
      <c r="C2" t="s">
        <v>2</v>
      </c>
    </row>
    <row r="3" spans="1:18" x14ac:dyDescent="0.25">
      <c r="A3">
        <v>1.98</v>
      </c>
      <c r="B3">
        <f>POWER(A3,2)</f>
        <v>3.9203999999999999</v>
      </c>
      <c r="C3">
        <v>150</v>
      </c>
      <c r="E3" t="s">
        <v>3</v>
      </c>
      <c r="L3" t="s">
        <v>44</v>
      </c>
    </row>
    <row r="4" spans="1:18" x14ac:dyDescent="0.25">
      <c r="A4">
        <v>2.1</v>
      </c>
      <c r="B4">
        <f>POWER(A4,2)</f>
        <v>4.41</v>
      </c>
      <c r="C4">
        <v>144</v>
      </c>
      <c r="E4" t="s">
        <v>4</v>
      </c>
      <c r="L4" t="s">
        <v>49</v>
      </c>
    </row>
    <row r="5" spans="1:18" x14ac:dyDescent="0.25">
      <c r="A5">
        <v>2.25</v>
      </c>
      <c r="B5">
        <f>POWER(A5,2)</f>
        <v>5.0625</v>
      </c>
      <c r="C5">
        <v>205</v>
      </c>
      <c r="E5" t="s">
        <v>5</v>
      </c>
      <c r="L5" t="s">
        <v>50</v>
      </c>
    </row>
    <row r="6" spans="1:18" x14ac:dyDescent="0.25">
      <c r="A6">
        <v>2.7</v>
      </c>
      <c r="B6">
        <f>POWER(A6,2)</f>
        <v>7.2900000000000009</v>
      </c>
      <c r="C6">
        <v>388</v>
      </c>
      <c r="E6" t="s">
        <v>39</v>
      </c>
    </row>
    <row r="7" spans="1:18" x14ac:dyDescent="0.25">
      <c r="A7">
        <v>3.05</v>
      </c>
      <c r="B7">
        <f>POWER(A7,2)</f>
        <v>9.3024999999999984</v>
      </c>
      <c r="C7">
        <v>750</v>
      </c>
      <c r="E7" t="s">
        <v>42</v>
      </c>
      <c r="L7" t="s">
        <v>51</v>
      </c>
    </row>
    <row r="8" spans="1:18" x14ac:dyDescent="0.25">
      <c r="A8">
        <v>3.3</v>
      </c>
      <c r="B8">
        <f>POWER(A8,2)</f>
        <v>10.889999999999999</v>
      </c>
      <c r="C8">
        <v>653</v>
      </c>
      <c r="E8" t="s">
        <v>43</v>
      </c>
      <c r="L8" t="s">
        <v>52</v>
      </c>
    </row>
    <row r="9" spans="1:18" x14ac:dyDescent="0.25">
      <c r="A9">
        <v>3.35</v>
      </c>
      <c r="B9">
        <f>POWER(A9,2)</f>
        <v>11.2225</v>
      </c>
      <c r="C9">
        <v>580</v>
      </c>
      <c r="E9" t="s">
        <v>6</v>
      </c>
    </row>
    <row r="10" spans="1:18" x14ac:dyDescent="0.25">
      <c r="A10">
        <v>3.95</v>
      </c>
      <c r="B10">
        <f>POWER(A10,2)</f>
        <v>15.602500000000001</v>
      </c>
      <c r="C10">
        <v>920</v>
      </c>
      <c r="E10" t="s">
        <v>40</v>
      </c>
    </row>
    <row r="11" spans="1:18" x14ac:dyDescent="0.25">
      <c r="A11">
        <v>4.12</v>
      </c>
      <c r="B11">
        <f>POWER(A11,2)</f>
        <v>16.974399999999999</v>
      </c>
      <c r="C11">
        <v>1130</v>
      </c>
      <c r="E11" t="s">
        <v>41</v>
      </c>
      <c r="Q11" t="s">
        <v>7</v>
      </c>
    </row>
    <row r="12" spans="1:18" ht="15.75" thickBot="1" x14ac:dyDescent="0.3">
      <c r="A12">
        <v>4.25</v>
      </c>
      <c r="B12">
        <f>POWER(A12,2)</f>
        <v>18.0625</v>
      </c>
      <c r="C12">
        <v>1040</v>
      </c>
    </row>
    <row r="13" spans="1:18" x14ac:dyDescent="0.25">
      <c r="Q13" s="4" t="s">
        <v>8</v>
      </c>
      <c r="R13" s="4"/>
    </row>
    <row r="14" spans="1:18" x14ac:dyDescent="0.25">
      <c r="Q14" s="1" t="s">
        <v>9</v>
      </c>
      <c r="R14" s="1">
        <v>0.97335837972228456</v>
      </c>
    </row>
    <row r="15" spans="1:18" x14ac:dyDescent="0.25">
      <c r="Q15" s="1" t="s">
        <v>10</v>
      </c>
      <c r="R15" s="1">
        <v>0.94742653537559118</v>
      </c>
    </row>
    <row r="16" spans="1:18" x14ac:dyDescent="0.25">
      <c r="Q16" s="1" t="s">
        <v>11</v>
      </c>
      <c r="R16" s="1">
        <v>0.93240554548290311</v>
      </c>
    </row>
    <row r="17" spans="1:25" x14ac:dyDescent="0.25">
      <c r="Q17" s="1" t="s">
        <v>12</v>
      </c>
      <c r="R17" s="1">
        <v>95.481120294012101</v>
      </c>
    </row>
    <row r="18" spans="1:25" ht="15.75" thickBot="1" x14ac:dyDescent="0.3">
      <c r="Q18" s="2" t="s">
        <v>13</v>
      </c>
      <c r="R18" s="2">
        <v>10</v>
      </c>
    </row>
    <row r="20" spans="1:25" ht="15.75" thickBot="1" x14ac:dyDescent="0.3">
      <c r="A20" t="s">
        <v>7</v>
      </c>
      <c r="Q20" t="s">
        <v>14</v>
      </c>
    </row>
    <row r="21" spans="1:25" ht="15.75" thickBot="1" x14ac:dyDescent="0.3">
      <c r="Q21" s="3"/>
      <c r="R21" s="3" t="s">
        <v>19</v>
      </c>
      <c r="S21" s="3" t="s">
        <v>20</v>
      </c>
      <c r="T21" s="3" t="s">
        <v>21</v>
      </c>
      <c r="U21" s="3" t="s">
        <v>22</v>
      </c>
      <c r="V21" s="3" t="s">
        <v>23</v>
      </c>
    </row>
    <row r="22" spans="1:25" x14ac:dyDescent="0.25">
      <c r="A22" s="4" t="s">
        <v>8</v>
      </c>
      <c r="B22" s="4"/>
      <c r="Q22" s="1" t="s">
        <v>15</v>
      </c>
      <c r="R22" s="1">
        <v>2</v>
      </c>
      <c r="S22" s="1">
        <v>1150037.4896718028</v>
      </c>
      <c r="T22" s="1">
        <v>575018.74483590142</v>
      </c>
      <c r="U22" s="1">
        <v>63.073508613221826</v>
      </c>
      <c r="V22" s="1">
        <v>3.3318319912720475E-5</v>
      </c>
    </row>
    <row r="23" spans="1:25" x14ac:dyDescent="0.25">
      <c r="A23" s="1" t="s">
        <v>9</v>
      </c>
      <c r="B23" s="1">
        <v>0.97335114295760261</v>
      </c>
      <c r="Q23" s="1" t="s">
        <v>16</v>
      </c>
      <c r="R23" s="1">
        <v>7</v>
      </c>
      <c r="S23" s="1">
        <v>63816.510328197262</v>
      </c>
      <c r="T23" s="1">
        <v>9116.6443325996097</v>
      </c>
      <c r="U23" s="1"/>
      <c r="V23" s="1"/>
    </row>
    <row r="24" spans="1:25" ht="15.75" thickBot="1" x14ac:dyDescent="0.3">
      <c r="A24" s="1" t="s">
        <v>10</v>
      </c>
      <c r="B24" s="1">
        <v>0.94741244749687126</v>
      </c>
      <c r="Q24" s="2" t="s">
        <v>17</v>
      </c>
      <c r="R24" s="2">
        <v>9</v>
      </c>
      <c r="S24" s="2">
        <v>1213854</v>
      </c>
      <c r="T24" s="2"/>
      <c r="U24" s="2"/>
      <c r="V24" s="2"/>
    </row>
    <row r="25" spans="1:25" ht="15.75" thickBot="1" x14ac:dyDescent="0.3">
      <c r="A25" s="1" t="s">
        <v>11</v>
      </c>
      <c r="B25" s="1">
        <v>0.94083900343398019</v>
      </c>
    </row>
    <row r="26" spans="1:25" x14ac:dyDescent="0.25">
      <c r="A26" s="1" t="s">
        <v>12</v>
      </c>
      <c r="B26" s="1">
        <v>89.326375553453431</v>
      </c>
      <c r="Q26" s="3"/>
      <c r="R26" s="3" t="s">
        <v>24</v>
      </c>
      <c r="S26" s="3" t="s">
        <v>12</v>
      </c>
      <c r="T26" s="3" t="s">
        <v>25</v>
      </c>
      <c r="U26" s="7" t="s">
        <v>47</v>
      </c>
      <c r="V26" s="3" t="s">
        <v>27</v>
      </c>
      <c r="W26" s="3" t="s">
        <v>28</v>
      </c>
      <c r="X26" s="3" t="s">
        <v>29</v>
      </c>
      <c r="Y26" s="3" t="s">
        <v>30</v>
      </c>
    </row>
    <row r="27" spans="1:25" ht="15.75" thickBot="1" x14ac:dyDescent="0.3">
      <c r="A27" s="2" t="s">
        <v>13</v>
      </c>
      <c r="B27" s="2">
        <v>10</v>
      </c>
      <c r="Q27" s="1" t="s">
        <v>18</v>
      </c>
      <c r="R27" s="1">
        <v>-704.04024870173669</v>
      </c>
      <c r="S27" s="1">
        <v>561.333717362127</v>
      </c>
      <c r="T27" s="1">
        <v>-1.25422761349564</v>
      </c>
      <c r="U27" s="1">
        <v>0.2500174767634723</v>
      </c>
      <c r="V27" s="1">
        <v>-2031.3835700129521</v>
      </c>
      <c r="W27" s="1">
        <v>623.30307260947882</v>
      </c>
      <c r="X27" s="1">
        <v>-2031.3835700129521</v>
      </c>
      <c r="Y27" s="1">
        <v>623.30307260947882</v>
      </c>
    </row>
    <row r="28" spans="1:25" x14ac:dyDescent="0.25">
      <c r="Q28" s="1" t="s">
        <v>31</v>
      </c>
      <c r="R28" s="1">
        <v>409.99496773766396</v>
      </c>
      <c r="S28" s="1">
        <v>379.21122117531144</v>
      </c>
      <c r="T28" s="1">
        <v>1.0811783640445625</v>
      </c>
      <c r="U28" s="1">
        <v>0.31545246666491256</v>
      </c>
      <c r="V28" s="1">
        <v>-486.69708232959283</v>
      </c>
      <c r="W28" s="1">
        <v>1306.6870178049207</v>
      </c>
      <c r="X28" s="1">
        <v>-486.69708232959283</v>
      </c>
      <c r="Y28" s="1">
        <v>1306.6870178049207</v>
      </c>
    </row>
    <row r="29" spans="1:25" ht="15.75" thickBot="1" x14ac:dyDescent="0.3">
      <c r="A29" t="s">
        <v>14</v>
      </c>
      <c r="Q29" s="2" t="s">
        <v>46</v>
      </c>
      <c r="R29" s="2">
        <v>2.6286337947648928</v>
      </c>
      <c r="S29" s="2">
        <v>60.693413561365929</v>
      </c>
      <c r="T29" s="2">
        <v>4.3310033832701343E-2</v>
      </c>
      <c r="U29" s="2">
        <v>0.96666392450718863</v>
      </c>
      <c r="V29" s="2">
        <v>-140.88848382439141</v>
      </c>
      <c r="W29" s="2">
        <v>146.14575141392118</v>
      </c>
      <c r="X29" s="2">
        <v>-140.88848382439141</v>
      </c>
      <c r="Y29" s="2">
        <v>146.14575141392118</v>
      </c>
    </row>
    <row r="30" spans="1:25" x14ac:dyDescent="0.25">
      <c r="A30" s="3"/>
      <c r="B30" s="3" t="s">
        <v>19</v>
      </c>
      <c r="C30" s="3" t="s">
        <v>20</v>
      </c>
      <c r="D30" s="3" t="s">
        <v>21</v>
      </c>
      <c r="E30" s="3" t="s">
        <v>22</v>
      </c>
      <c r="F30" s="3" t="s">
        <v>23</v>
      </c>
    </row>
    <row r="31" spans="1:25" x14ac:dyDescent="0.25">
      <c r="A31" s="1" t="s">
        <v>15</v>
      </c>
      <c r="B31" s="1">
        <v>1</v>
      </c>
      <c r="C31" s="1">
        <v>1150020.3890438671</v>
      </c>
      <c r="D31" s="1">
        <v>1150020.3890438671</v>
      </c>
      <c r="E31" s="1">
        <v>144.12725481993166</v>
      </c>
      <c r="F31" s="1">
        <v>2.1366629516437474E-6</v>
      </c>
    </row>
    <row r="32" spans="1:25" x14ac:dyDescent="0.25">
      <c r="A32" s="1" t="s">
        <v>16</v>
      </c>
      <c r="B32" s="1">
        <v>8</v>
      </c>
      <c r="C32" s="1">
        <v>63833.610956132827</v>
      </c>
      <c r="D32" s="1">
        <v>7979.2013695166033</v>
      </c>
      <c r="E32" s="1"/>
      <c r="F32" s="1"/>
    </row>
    <row r="33" spans="1:9" ht="15.75" thickBot="1" x14ac:dyDescent="0.3">
      <c r="A33" s="2" t="s">
        <v>17</v>
      </c>
      <c r="B33" s="2">
        <v>9</v>
      </c>
      <c r="C33" s="2">
        <v>1213854</v>
      </c>
      <c r="D33" s="2"/>
      <c r="E33" s="2"/>
      <c r="F33" s="2"/>
    </row>
    <row r="34" spans="1:9" ht="15.75" thickBot="1" x14ac:dyDescent="0.3">
      <c r="E34" t="s">
        <v>48</v>
      </c>
    </row>
    <row r="35" spans="1:9" x14ac:dyDescent="0.25">
      <c r="A35" s="3"/>
      <c r="B35" s="3" t="s">
        <v>24</v>
      </c>
      <c r="C35" s="3" t="s">
        <v>12</v>
      </c>
      <c r="D35" s="3" t="s">
        <v>25</v>
      </c>
      <c r="E35" s="7" t="s">
        <v>26</v>
      </c>
      <c r="F35" s="3" t="s">
        <v>27</v>
      </c>
      <c r="G35" s="3" t="s">
        <v>28</v>
      </c>
      <c r="H35" s="3" t="s">
        <v>29</v>
      </c>
      <c r="I35" s="3" t="s">
        <v>30</v>
      </c>
    </row>
    <row r="36" spans="1:9" x14ac:dyDescent="0.25">
      <c r="A36" s="1" t="s">
        <v>18</v>
      </c>
      <c r="B36" s="1">
        <v>-727.77367809642715</v>
      </c>
      <c r="C36" s="1">
        <v>113.82644006511863</v>
      </c>
      <c r="D36" s="1">
        <v>-6.3937137775729198</v>
      </c>
      <c r="E36" s="1">
        <v>2.1053881005450939E-4</v>
      </c>
      <c r="F36" s="5">
        <v>-990.25791958215996</v>
      </c>
      <c r="G36" s="5">
        <v>-465.28943661069428</v>
      </c>
      <c r="H36" s="1">
        <v>-990.25791958215996</v>
      </c>
      <c r="I36" s="1">
        <v>-465.28943661069428</v>
      </c>
    </row>
    <row r="37" spans="1:9" ht="15.75" thickBot="1" x14ac:dyDescent="0.3">
      <c r="A37" s="2" t="s">
        <v>31</v>
      </c>
      <c r="B37" s="2">
        <v>426.33612821140963</v>
      </c>
      <c r="C37" s="2">
        <v>35.51232278053228</v>
      </c>
      <c r="D37" s="2">
        <v>12.00530111325541</v>
      </c>
      <c r="E37" s="2">
        <v>2.1366629516437512E-6</v>
      </c>
      <c r="F37" s="6">
        <v>344.44456502879706</v>
      </c>
      <c r="G37" s="6">
        <v>508.2276913940222</v>
      </c>
      <c r="H37" s="2">
        <v>344.44456502879706</v>
      </c>
      <c r="I37" s="2">
        <v>508.2276913940222</v>
      </c>
    </row>
    <row r="41" spans="1:9" x14ac:dyDescent="0.25">
      <c r="A41" t="s">
        <v>32</v>
      </c>
      <c r="F41" t="s">
        <v>36</v>
      </c>
    </row>
    <row r="42" spans="1:9" ht="15.75" thickBot="1" x14ac:dyDescent="0.3"/>
    <row r="43" spans="1:9" x14ac:dyDescent="0.25">
      <c r="A43" s="3" t="s">
        <v>33</v>
      </c>
      <c r="B43" s="3" t="s">
        <v>34</v>
      </c>
      <c r="C43" s="3" t="s">
        <v>16</v>
      </c>
      <c r="D43" s="3" t="s">
        <v>35</v>
      </c>
      <c r="F43" s="3" t="s">
        <v>37</v>
      </c>
      <c r="G43" s="3" t="s">
        <v>38</v>
      </c>
    </row>
    <row r="44" spans="1:9" x14ac:dyDescent="0.25">
      <c r="A44" s="1">
        <v>1</v>
      </c>
      <c r="B44" s="1">
        <v>116.37185576216393</v>
      </c>
      <c r="C44" s="1">
        <v>33.628144237836068</v>
      </c>
      <c r="D44" s="1">
        <v>0.39930012857843827</v>
      </c>
      <c r="F44" s="1">
        <v>5</v>
      </c>
      <c r="G44" s="1">
        <v>144</v>
      </c>
    </row>
    <row r="45" spans="1:9" x14ac:dyDescent="0.25">
      <c r="A45" s="1">
        <v>2</v>
      </c>
      <c r="B45" s="1">
        <v>167.53219114753313</v>
      </c>
      <c r="C45" s="1">
        <v>-23.532191147533126</v>
      </c>
      <c r="D45" s="1">
        <v>-0.27942091851652567</v>
      </c>
      <c r="F45" s="1">
        <v>15</v>
      </c>
      <c r="G45" s="1">
        <v>150</v>
      </c>
    </row>
    <row r="46" spans="1:9" x14ac:dyDescent="0.25">
      <c r="A46" s="1">
        <v>3</v>
      </c>
      <c r="B46" s="1">
        <v>231.48261037924453</v>
      </c>
      <c r="C46" s="1">
        <v>-26.482610379244534</v>
      </c>
      <c r="D46" s="1">
        <v>-0.31445415645705826</v>
      </c>
      <c r="F46" s="1">
        <v>25</v>
      </c>
      <c r="G46" s="1">
        <v>205</v>
      </c>
    </row>
    <row r="47" spans="1:9" x14ac:dyDescent="0.25">
      <c r="A47" s="1">
        <v>4</v>
      </c>
      <c r="B47" s="1">
        <v>423.33386807437887</v>
      </c>
      <c r="C47" s="1">
        <v>-35.33386807437887</v>
      </c>
      <c r="D47" s="1">
        <v>-0.41955387027865748</v>
      </c>
      <c r="F47" s="1">
        <v>35</v>
      </c>
      <c r="G47" s="1">
        <v>388</v>
      </c>
    </row>
    <row r="48" spans="1:9" x14ac:dyDescent="0.25">
      <c r="A48" s="1">
        <v>5</v>
      </c>
      <c r="B48" s="1">
        <v>572.55151294837219</v>
      </c>
      <c r="C48" s="1">
        <v>177.44848705162781</v>
      </c>
      <c r="D48" s="1">
        <v>2.1070209285008041</v>
      </c>
      <c r="F48" s="1">
        <v>45</v>
      </c>
      <c r="G48" s="1">
        <v>580</v>
      </c>
    </row>
    <row r="49" spans="1:7" x14ac:dyDescent="0.25">
      <c r="A49" s="1">
        <v>6</v>
      </c>
      <c r="B49" s="1">
        <v>679.1355450012245</v>
      </c>
      <c r="C49" s="1">
        <v>-26.1355450012245</v>
      </c>
      <c r="D49" s="1">
        <v>-0.31033310686572818</v>
      </c>
      <c r="F49" s="1">
        <v>55</v>
      </c>
      <c r="G49" s="1">
        <v>653</v>
      </c>
    </row>
    <row r="50" spans="1:7" x14ac:dyDescent="0.25">
      <c r="A50" s="1">
        <v>7</v>
      </c>
      <c r="B50" s="1">
        <v>700.45235141179523</v>
      </c>
      <c r="C50" s="1">
        <v>-120.45235141179523</v>
      </c>
      <c r="D50" s="1">
        <v>-1.4302495869572858</v>
      </c>
      <c r="F50" s="1">
        <v>65</v>
      </c>
      <c r="G50" s="1">
        <v>750</v>
      </c>
    </row>
    <row r="51" spans="1:7" x14ac:dyDescent="0.25">
      <c r="A51" s="1">
        <v>8</v>
      </c>
      <c r="B51" s="1">
        <v>956.25402833864086</v>
      </c>
      <c r="C51" s="1">
        <v>-36.254028338640865</v>
      </c>
      <c r="D51" s="1">
        <v>-0.43047984077628576</v>
      </c>
      <c r="F51" s="1">
        <v>75</v>
      </c>
      <c r="G51" s="1">
        <v>920</v>
      </c>
    </row>
    <row r="52" spans="1:7" x14ac:dyDescent="0.25">
      <c r="A52" s="1">
        <v>9</v>
      </c>
      <c r="B52" s="1">
        <v>1028.7311701345807</v>
      </c>
      <c r="C52" s="1">
        <v>101.26882986541932</v>
      </c>
      <c r="D52" s="1">
        <v>1.2024647123034933</v>
      </c>
      <c r="F52" s="1">
        <v>85</v>
      </c>
      <c r="G52" s="1">
        <v>1040</v>
      </c>
    </row>
    <row r="53" spans="1:7" ht="15.75" thickBot="1" x14ac:dyDescent="0.3">
      <c r="A53" s="2">
        <v>10</v>
      </c>
      <c r="B53" s="2">
        <v>1084.1548668020637</v>
      </c>
      <c r="C53" s="2">
        <v>-44.15486680206368</v>
      </c>
      <c r="D53" s="2">
        <v>-0.52429428953116619</v>
      </c>
      <c r="F53" s="2">
        <v>95</v>
      </c>
      <c r="G53" s="2">
        <v>1130</v>
      </c>
    </row>
  </sheetData>
  <sortState xmlns:xlrd2="http://schemas.microsoft.com/office/spreadsheetml/2017/richdata2" ref="G44:G53">
    <sortCondition ref="G4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2025-06-08T14:35:52Z</dcterms:created>
  <dcterms:modified xsi:type="dcterms:W3CDTF">2025-06-08T18:14:44Z</dcterms:modified>
</cp:coreProperties>
</file>