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2390429d202d0/Desktop/"/>
    </mc:Choice>
  </mc:AlternateContent>
  <xr:revisionPtr revIDLastSave="0" documentId="8_{B4AABDFE-5A05-4DCF-9273-855FCFCE01D0}" xr6:coauthVersionLast="47" xr6:coauthVersionMax="47" xr10:uidLastSave="{00000000-0000-0000-0000-000000000000}"/>
  <bookViews>
    <workbookView xWindow="-108" yWindow="-108" windowWidth="23256" windowHeight="12456" xr2:uid="{DFDD8959-C88B-4D87-9CD9-3A86101DDB78}"/>
  </bookViews>
  <sheets>
    <sheet name="I1" sheetId="2" r:id="rId1"/>
    <sheet name="Hoja1" sheetId="1" r:id="rId2"/>
  </sheets>
  <definedNames>
    <definedName name="DatosExternos_1" localSheetId="0" hidden="1">'I1'!$A$1:$E$91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2" l="1"/>
  <c r="K37" i="2"/>
  <c r="L27" i="2"/>
  <c r="I23" i="2"/>
  <c r="I27" i="2" s="1"/>
  <c r="I29" i="2" s="1"/>
  <c r="L26" i="2" l="1"/>
  <c r="L28" i="2" s="1"/>
  <c r="I26" i="2"/>
  <c r="I30" i="2" s="1"/>
  <c r="L30" i="2" l="1"/>
  <c r="L29" i="2"/>
  <c r="M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FC4AD-E4E1-49A6-AB8F-63C06663CFEB}" keepAlive="1" name="Consulta - I1" description="Conexión a la consulta 'I1' en el libro." type="5" refreshedVersion="8" background="1" saveData="1">
    <dbPr connection="Provider=Microsoft.Mashup.OleDb.1;Data Source=$Workbook$;Location=I1;Extended Properties=&quot;&quot;" command="SELECT * FROM [I1]"/>
  </connection>
</connections>
</file>

<file path=xl/sharedStrings.xml><?xml version="1.0" encoding="utf-8"?>
<sst xmlns="http://schemas.openxmlformats.org/spreadsheetml/2006/main" count="341" uniqueCount="76">
  <si>
    <t>Column1</t>
  </si>
  <si>
    <t>Column2</t>
  </si>
  <si>
    <t>Column3</t>
  </si>
  <si>
    <t>Column4</t>
  </si>
  <si>
    <t>Column5</t>
  </si>
  <si>
    <t/>
  </si>
  <si>
    <t>Peso en gramos de un envase de un producto</t>
  </si>
  <si>
    <t>A1</t>
  </si>
  <si>
    <t>PR1</t>
  </si>
  <si>
    <t>PR2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</si>
  <si>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</si>
  <si>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</si>
  <si>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</si>
  <si>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</si>
  <si>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</si>
  <si>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</si>
  <si>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</si>
  <si>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</si>
  <si>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</si>
  <si>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</si>
  <si>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</si>
  <si>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</si>
  <si>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</si>
  <si>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</si>
  <si>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Estadistica descriptiva 95%</t>
  </si>
  <si>
    <t>a)</t>
  </si>
  <si>
    <t>alpha:</t>
  </si>
  <si>
    <t>alpha/2:</t>
  </si>
  <si>
    <t>Para construir IC  de varianza:</t>
  </si>
  <si>
    <t>Chi2sup:</t>
  </si>
  <si>
    <t>Chi2inf:</t>
  </si>
  <si>
    <t>Limite inferior:</t>
  </si>
  <si>
    <t>Limite  superior:</t>
  </si>
  <si>
    <t xml:space="preserve">El intervalo de confianza de la varianza con 95% es: [151;272,6] </t>
  </si>
  <si>
    <t>Para construir IC de promedio:</t>
  </si>
  <si>
    <t>Z</t>
  </si>
  <si>
    <t>error estandar</t>
  </si>
  <si>
    <t xml:space="preserve">margen </t>
  </si>
  <si>
    <t>Limite inferior</t>
  </si>
  <si>
    <t>Limite superior:</t>
  </si>
  <si>
    <t>El intervalo de confianza del promedio con 95% es: [444,67;450,5]</t>
  </si>
  <si>
    <t>PR1 vale 447, este valor se encuentra dentro del IC por lo tanto si, es posible que valga PR1</t>
  </si>
  <si>
    <t>b)</t>
  </si>
  <si>
    <t>alpha</t>
  </si>
  <si>
    <t>H0&lt;=447</t>
  </si>
  <si>
    <t>H1&gt;447</t>
  </si>
  <si>
    <t>x muestral</t>
  </si>
  <si>
    <t>u0</t>
  </si>
  <si>
    <t>Zobs</t>
  </si>
  <si>
    <t>Zcrit</t>
  </si>
  <si>
    <t>Como el critico es mayor que el observado,</t>
  </si>
  <si>
    <t>no puedo rechazar H0</t>
  </si>
  <si>
    <t>c)</t>
  </si>
  <si>
    <t>Lo hice en paint, lo pego acá:</t>
  </si>
  <si>
    <t>Como el critico es mayor que el observado, va mas a la izquierda, en el medio de la campana de Gauss</t>
  </si>
  <si>
    <t>se encuentra la media, y luego del Zobservado esta el alpha (en este caso 0,1)</t>
  </si>
  <si>
    <t>d)</t>
  </si>
  <si>
    <t>Calculo el p valor con geogebra:</t>
  </si>
  <si>
    <t>X-Normal(0,1), P(X&gt;Zobs)</t>
  </si>
  <si>
    <t>Como el p valor es mayor al alpha, no puedo rechazar la hipotesis nula por lo tanto no puedo asegurar</t>
  </si>
  <si>
    <t>lo que busca la empresa (que en promedio el peso neto sea  superior a 447), esto no significa que el promedio sea menor a ese valor</t>
  </si>
  <si>
    <t>sino que no cuento  con la evidencia suficiente para afirmar tal suposicion.</t>
  </si>
  <si>
    <t>e)</t>
  </si>
  <si>
    <t>Se refiere a un error de tipo dos:</t>
  </si>
  <si>
    <t xml:space="preserve">Calculo Xc muestral: </t>
  </si>
  <si>
    <t>Xc=Zcrit*(s/raizN)+u0=</t>
  </si>
  <si>
    <t>Calculo Zb:</t>
  </si>
  <si>
    <t>u0: 447</t>
  </si>
  <si>
    <t>u1: 448</t>
  </si>
  <si>
    <t>Zb=(Xc-u1)/(s/raizN)=</t>
  </si>
  <si>
    <t>Ahora en geogebra puedo hallar la probabilidad asi:</t>
  </si>
  <si>
    <t>P(X&lt;0,6)=</t>
  </si>
  <si>
    <t>Por lo tanto la probabilidad de aceptar que el promedio esta dentro de lo deseable cuando en realidad</t>
  </si>
  <si>
    <t>toma el valor PR2 es de 72,5%</t>
  </si>
  <si>
    <t>Respuestas inciso a</t>
  </si>
  <si>
    <t xml:space="preserve">La varianza estimada 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</si>
</sst>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1" fillId="0" borderId="0" xfId="0" applyFont="1"/>
    <xf numFmtId="0" fontId="0" fillId="2" borderId="0" xfId="0" applyFill="1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6" xfId="0" applyFill="1" applyBorder="1"/>
    <xf numFmtId="0" fontId="0" fillId="0" borderId="7" xfId="0" applyBorder="1"/>
    <xf numFmtId="0" fontId="0" fillId="3" borderId="8" xfId="0" applyFill="1" applyBorder="1"/>
    <xf numFmtId="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41</xdr:row>
      <xdr:rowOff>0</xdr:rowOff>
    </xdr:from>
    <xdr:to>
      <xdr:col>12</xdr:col>
      <xdr:colOff>480061</xdr:colOff>
      <xdr:row>51</xdr:row>
      <xdr:rowOff>2775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844198-5111-E783-444C-A0F03B44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1281" y="7513320"/>
          <a:ext cx="5326380" cy="183157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C22B23B-C6BB-4603-8AB3-594C161D5FE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4955C-C8B0-4A92-999A-09C92F9ED086}" name="I1_" displayName="I1_" ref="A1:E91" tableType="queryTable" totalsRowShown="0">
  <autoFilter ref="A1:E91" xr:uid="{6C44955C-C8B0-4A92-999A-09C92F9ED086}"/>
  <tableColumns count="5">
    <tableColumn id="1" xr3:uid="{B6470E4D-47ED-4A4C-BBFF-4451BA4AEE38}" uniqueName="1" name="Column1" queryTableFieldId="1"/>
    <tableColumn id="2" xr3:uid="{FCF0DFF3-4527-41E9-9505-F23045675524}" uniqueName="2" name="Column2" queryTableFieldId="2" dataDxfId="2"/>
    <tableColumn id="3" xr3:uid="{83354C91-9585-46AC-B906-2062EFFA0DAB}" uniqueName="3" name="Column3" queryTableFieldId="3" dataDxfId="1"/>
    <tableColumn id="4" xr3:uid="{A983FBF9-8E88-424C-9AAF-88FA6378876F}" uniqueName="4" name="Column4" queryTableFieldId="4" dataDxfId="0"/>
    <tableColumn id="5" xr3:uid="{C11E9DCB-D3F6-497C-8528-517D3F0522F8}" uniqueName="5" name="Column5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29C1-CDE4-4A00-B8C3-FBD826E30411}">
  <dimension ref="A1:M91"/>
  <sheetViews>
    <sheetView tabSelected="1" workbookViewId="0">
      <selection activeCell="L3" sqref="L3"/>
    </sheetView>
  </sheetViews>
  <sheetFormatPr baseColWidth="10" defaultRowHeight="14.4" x14ac:dyDescent="0.3"/>
  <cols>
    <col min="1" max="3" width="10.6640625" bestFit="1" customWidth="1"/>
    <col min="4" max="4" width="37.109375" bestFit="1" customWidth="1"/>
    <col min="5" max="5" width="10.6640625" bestFit="1" customWidth="1"/>
    <col min="7" max="7" width="2.44140625" customWidth="1"/>
    <col min="8" max="8" width="22.33203125" customWidth="1"/>
    <col min="11" max="11" width="1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>
        <v>438.2</v>
      </c>
      <c r="B2" s="1" t="s">
        <v>5</v>
      </c>
      <c r="C2" s="1" t="s">
        <v>5</v>
      </c>
      <c r="D2" s="1" t="s">
        <v>6</v>
      </c>
    </row>
    <row r="3" spans="1:13" x14ac:dyDescent="0.3">
      <c r="A3">
        <v>433.4</v>
      </c>
      <c r="B3" s="1" t="s">
        <v>5</v>
      </c>
      <c r="C3" s="1" t="s">
        <v>5</v>
      </c>
      <c r="D3" s="1" t="s">
        <v>5</v>
      </c>
    </row>
    <row r="4" spans="1:13" ht="15" thickBot="1" x14ac:dyDescent="0.35">
      <c r="A4">
        <v>452.42</v>
      </c>
      <c r="B4" s="1" t="s">
        <v>5</v>
      </c>
      <c r="C4" s="1" t="s">
        <v>5</v>
      </c>
      <c r="D4" s="1" t="s">
        <v>7</v>
      </c>
      <c r="E4">
        <v>10</v>
      </c>
      <c r="K4" t="s">
        <v>74</v>
      </c>
    </row>
    <row r="5" spans="1:13" x14ac:dyDescent="0.3">
      <c r="A5">
        <v>432.97</v>
      </c>
      <c r="B5" s="1" t="s">
        <v>5</v>
      </c>
      <c r="C5" s="1" t="s">
        <v>5</v>
      </c>
      <c r="D5" s="1" t="s">
        <v>8</v>
      </c>
      <c r="E5">
        <v>447</v>
      </c>
      <c r="G5" s="5" t="s">
        <v>25</v>
      </c>
      <c r="H5" s="4" t="s">
        <v>24</v>
      </c>
      <c r="I5" s="4"/>
      <c r="K5" t="s">
        <v>75</v>
      </c>
      <c r="M5">
        <f>_xlfn.VAR.S(I1_[Column1])</f>
        <v>198.47297433208482</v>
      </c>
    </row>
    <row r="6" spans="1:13" x14ac:dyDescent="0.3">
      <c r="A6">
        <v>446.3</v>
      </c>
      <c r="B6" s="1" t="s">
        <v>5</v>
      </c>
      <c r="C6" s="1" t="s">
        <v>5</v>
      </c>
      <c r="D6" s="1" t="s">
        <v>5</v>
      </c>
      <c r="H6" s="2"/>
      <c r="I6" s="2"/>
    </row>
    <row r="7" spans="1:13" x14ac:dyDescent="0.3">
      <c r="A7">
        <v>456.74</v>
      </c>
      <c r="B7" s="1" t="s">
        <v>5</v>
      </c>
      <c r="C7" s="1" t="s">
        <v>5</v>
      </c>
      <c r="D7" s="1" t="s">
        <v>9</v>
      </c>
      <c r="E7">
        <v>448</v>
      </c>
      <c r="H7" s="2" t="s">
        <v>10</v>
      </c>
      <c r="I7" s="2">
        <v>447.57822222222217</v>
      </c>
      <c r="K7" t="s">
        <v>33</v>
      </c>
    </row>
    <row r="8" spans="1:13" x14ac:dyDescent="0.3">
      <c r="A8">
        <v>421</v>
      </c>
      <c r="B8" s="1" t="s">
        <v>5</v>
      </c>
      <c r="C8" s="1" t="s">
        <v>5</v>
      </c>
      <c r="D8" s="1" t="s">
        <v>5</v>
      </c>
      <c r="H8" s="2" t="s">
        <v>11</v>
      </c>
      <c r="I8" s="2">
        <v>1.4850101920042496</v>
      </c>
    </row>
    <row r="9" spans="1:13" x14ac:dyDescent="0.3">
      <c r="A9">
        <v>445.29</v>
      </c>
      <c r="B9" s="1" t="s">
        <v>5</v>
      </c>
      <c r="C9" s="1" t="s">
        <v>5</v>
      </c>
      <c r="D9" s="1" t="s">
        <v>5</v>
      </c>
      <c r="H9" s="2" t="s">
        <v>12</v>
      </c>
      <c r="I9" s="2">
        <v>448.54500000000002</v>
      </c>
      <c r="K9" t="s">
        <v>40</v>
      </c>
    </row>
    <row r="10" spans="1:13" x14ac:dyDescent="0.3">
      <c r="A10">
        <v>438.16</v>
      </c>
      <c r="B10" s="1" t="s">
        <v>5</v>
      </c>
      <c r="C10" s="1" t="s">
        <v>5</v>
      </c>
      <c r="D10" s="1" t="s">
        <v>5</v>
      </c>
      <c r="H10" s="2" t="s">
        <v>13</v>
      </c>
      <c r="I10" s="2">
        <v>442.42</v>
      </c>
      <c r="K10" t="s">
        <v>41</v>
      </c>
    </row>
    <row r="11" spans="1:13" x14ac:dyDescent="0.3">
      <c r="A11">
        <v>456.9</v>
      </c>
      <c r="B11" s="1" t="s">
        <v>5</v>
      </c>
      <c r="C11" s="1" t="s">
        <v>5</v>
      </c>
      <c r="D11" s="1" t="s">
        <v>5</v>
      </c>
      <c r="H11" s="2" t="s">
        <v>14</v>
      </c>
      <c r="I11" s="2">
        <v>14.088043665892181</v>
      </c>
    </row>
    <row r="12" spans="1:13" x14ac:dyDescent="0.3">
      <c r="A12">
        <v>445.11</v>
      </c>
      <c r="B12" s="1" t="s">
        <v>5</v>
      </c>
      <c r="C12" s="1" t="s">
        <v>5</v>
      </c>
      <c r="D12" s="1" t="s">
        <v>5</v>
      </c>
      <c r="H12" s="2" t="s">
        <v>15</v>
      </c>
      <c r="I12" s="6">
        <v>198.47297433208482</v>
      </c>
    </row>
    <row r="13" spans="1:13" x14ac:dyDescent="0.3">
      <c r="A13">
        <v>442.42</v>
      </c>
      <c r="B13" s="1" t="s">
        <v>5</v>
      </c>
      <c r="C13" s="1" t="s">
        <v>5</v>
      </c>
      <c r="D13" s="1" t="s">
        <v>5</v>
      </c>
      <c r="H13" s="2" t="s">
        <v>16</v>
      </c>
      <c r="I13" s="2">
        <v>0.26845361414327495</v>
      </c>
    </row>
    <row r="14" spans="1:13" x14ac:dyDescent="0.3">
      <c r="A14">
        <v>464.31</v>
      </c>
      <c r="B14" s="1" t="s">
        <v>5</v>
      </c>
      <c r="C14" s="1" t="s">
        <v>5</v>
      </c>
      <c r="D14" s="1" t="s">
        <v>5</v>
      </c>
      <c r="H14" s="2" t="s">
        <v>17</v>
      </c>
      <c r="I14" s="2">
        <v>-0.28850012334861819</v>
      </c>
    </row>
    <row r="15" spans="1:13" x14ac:dyDescent="0.3">
      <c r="A15">
        <v>428.83</v>
      </c>
      <c r="B15" s="1" t="s">
        <v>5</v>
      </c>
      <c r="C15" s="1" t="s">
        <v>5</v>
      </c>
      <c r="D15" s="1" t="s">
        <v>5</v>
      </c>
      <c r="H15" s="2" t="s">
        <v>18</v>
      </c>
      <c r="I15" s="2">
        <v>71.029999999999973</v>
      </c>
    </row>
    <row r="16" spans="1:13" x14ac:dyDescent="0.3">
      <c r="A16">
        <v>448.62</v>
      </c>
      <c r="B16" s="1" t="s">
        <v>5</v>
      </c>
      <c r="C16" s="1" t="s">
        <v>5</v>
      </c>
      <c r="D16" s="1" t="s">
        <v>5</v>
      </c>
      <c r="H16" s="2" t="s">
        <v>19</v>
      </c>
      <c r="I16" s="2">
        <v>408.05</v>
      </c>
    </row>
    <row r="17" spans="1:12" x14ac:dyDescent="0.3">
      <c r="A17">
        <v>456.43</v>
      </c>
      <c r="B17" s="1" t="s">
        <v>5</v>
      </c>
      <c r="C17" s="1" t="s">
        <v>5</v>
      </c>
      <c r="D17" s="1" t="s">
        <v>5</v>
      </c>
      <c r="H17" s="2" t="s">
        <v>20</v>
      </c>
      <c r="I17" s="2">
        <v>479.08</v>
      </c>
    </row>
    <row r="18" spans="1:12" x14ac:dyDescent="0.3">
      <c r="A18">
        <v>479.08</v>
      </c>
      <c r="B18" s="1" t="s">
        <v>5</v>
      </c>
      <c r="C18" s="1" t="s">
        <v>5</v>
      </c>
      <c r="D18" s="1" t="s">
        <v>5</v>
      </c>
      <c r="H18" s="2" t="s">
        <v>21</v>
      </c>
      <c r="I18" s="2">
        <v>40282.039999999994</v>
      </c>
    </row>
    <row r="19" spans="1:12" x14ac:dyDescent="0.3">
      <c r="A19">
        <v>425.47</v>
      </c>
      <c r="B19" s="1" t="s">
        <v>5</v>
      </c>
      <c r="C19" s="1" t="s">
        <v>5</v>
      </c>
      <c r="D19" s="1" t="s">
        <v>5</v>
      </c>
      <c r="H19" s="2" t="s">
        <v>22</v>
      </c>
      <c r="I19" s="2">
        <v>90</v>
      </c>
    </row>
    <row r="20" spans="1:12" ht="15" thickBot="1" x14ac:dyDescent="0.35">
      <c r="A20">
        <v>442.42</v>
      </c>
      <c r="B20" s="1" t="s">
        <v>5</v>
      </c>
      <c r="C20" s="1" t="s">
        <v>5</v>
      </c>
      <c r="D20" s="1" t="s">
        <v>5</v>
      </c>
      <c r="H20" s="3" t="s">
        <v>23</v>
      </c>
      <c r="I20" s="3">
        <v>2.9506836200621751</v>
      </c>
    </row>
    <row r="21" spans="1:12" x14ac:dyDescent="0.3">
      <c r="A21">
        <v>450.85</v>
      </c>
      <c r="B21" s="1" t="s">
        <v>5</v>
      </c>
      <c r="C21" s="1" t="s">
        <v>5</v>
      </c>
      <c r="D21" s="1" t="s">
        <v>5</v>
      </c>
    </row>
    <row r="22" spans="1:12" x14ac:dyDescent="0.3">
      <c r="A22">
        <v>457.09</v>
      </c>
      <c r="B22" s="1" t="s">
        <v>5</v>
      </c>
      <c r="C22" s="1" t="s">
        <v>5</v>
      </c>
      <c r="D22" s="1" t="s">
        <v>5</v>
      </c>
      <c r="H22" t="s">
        <v>26</v>
      </c>
      <c r="I22">
        <v>0.05</v>
      </c>
    </row>
    <row r="23" spans="1:12" x14ac:dyDescent="0.3">
      <c r="A23">
        <v>464.01</v>
      </c>
      <c r="B23" s="1" t="s">
        <v>5</v>
      </c>
      <c r="C23" s="1" t="s">
        <v>5</v>
      </c>
      <c r="D23" s="1" t="s">
        <v>5</v>
      </c>
      <c r="H23" t="s">
        <v>27</v>
      </c>
      <c r="I23">
        <f>I22/2</f>
        <v>2.5000000000000001E-2</v>
      </c>
    </row>
    <row r="24" spans="1:12" x14ac:dyDescent="0.3">
      <c r="A24">
        <v>440.27</v>
      </c>
      <c r="B24" s="1" t="s">
        <v>5</v>
      </c>
      <c r="C24" s="1" t="s">
        <v>5</v>
      </c>
      <c r="D24" s="1" t="s">
        <v>5</v>
      </c>
    </row>
    <row r="25" spans="1:12" x14ac:dyDescent="0.3">
      <c r="A25">
        <v>444.16</v>
      </c>
      <c r="B25" s="1" t="s">
        <v>5</v>
      </c>
      <c r="C25" s="1" t="s">
        <v>5</v>
      </c>
      <c r="D25" s="1" t="s">
        <v>5</v>
      </c>
      <c r="H25" s="7" t="s">
        <v>28</v>
      </c>
      <c r="I25" s="8"/>
      <c r="K25" s="7" t="s">
        <v>34</v>
      </c>
      <c r="L25" s="8"/>
    </row>
    <row r="26" spans="1:12" x14ac:dyDescent="0.3">
      <c r="A26">
        <v>431.49</v>
      </c>
      <c r="B26" s="1" t="s">
        <v>5</v>
      </c>
      <c r="C26" s="1" t="s">
        <v>5</v>
      </c>
      <c r="D26" s="1" t="s">
        <v>5</v>
      </c>
      <c r="H26" s="9" t="s">
        <v>29</v>
      </c>
      <c r="I26" s="10">
        <f>_xlfn.CHISQ.INV(I23,89)</f>
        <v>64.793361485159082</v>
      </c>
      <c r="K26" s="9" t="s">
        <v>35</v>
      </c>
      <c r="L26" s="10">
        <f>_xlfn.NORM.S.INV(1-I23)</f>
        <v>1.9599639845400536</v>
      </c>
    </row>
    <row r="27" spans="1:12" x14ac:dyDescent="0.3">
      <c r="A27">
        <v>454.39</v>
      </c>
      <c r="B27" s="1" t="s">
        <v>5</v>
      </c>
      <c r="C27" s="1" t="s">
        <v>5</v>
      </c>
      <c r="D27" s="1" t="s">
        <v>5</v>
      </c>
      <c r="H27" s="9" t="s">
        <v>30</v>
      </c>
      <c r="I27" s="10">
        <f>_xlfn.CHISQ.INV(1-I23,89)</f>
        <v>116.9890795435814</v>
      </c>
      <c r="K27" s="9" t="s">
        <v>36</v>
      </c>
      <c r="L27" s="10">
        <f>I11/SQRT(I19)</f>
        <v>1.4850101920042496</v>
      </c>
    </row>
    <row r="28" spans="1:12" x14ac:dyDescent="0.3">
      <c r="A28">
        <v>464.89</v>
      </c>
      <c r="B28" s="1" t="s">
        <v>5</v>
      </c>
      <c r="C28" s="1" t="s">
        <v>5</v>
      </c>
      <c r="D28" s="1" t="s">
        <v>5</v>
      </c>
      <c r="H28" s="9"/>
      <c r="I28" s="10"/>
      <c r="K28" s="9" t="s">
        <v>37</v>
      </c>
      <c r="L28" s="10">
        <f>L26*L27</f>
        <v>2.9105664930032389</v>
      </c>
    </row>
    <row r="29" spans="1:12" x14ac:dyDescent="0.3">
      <c r="A29">
        <v>444.1</v>
      </c>
      <c r="B29" s="1" t="s">
        <v>5</v>
      </c>
      <c r="C29" s="1" t="s">
        <v>5</v>
      </c>
      <c r="D29" s="1" t="s">
        <v>5</v>
      </c>
      <c r="H29" s="9" t="s">
        <v>31</v>
      </c>
      <c r="I29" s="11">
        <f>(89*I12)/I27</f>
        <v>150.98926142909966</v>
      </c>
      <c r="K29" s="9" t="s">
        <v>38</v>
      </c>
      <c r="L29" s="11">
        <f>I7-L28</f>
        <v>444.66765572921895</v>
      </c>
    </row>
    <row r="30" spans="1:12" x14ac:dyDescent="0.3">
      <c r="A30">
        <v>471.8</v>
      </c>
      <c r="B30" s="1" t="s">
        <v>5</v>
      </c>
      <c r="C30" s="1" t="s">
        <v>5</v>
      </c>
      <c r="D30" s="1" t="s">
        <v>5</v>
      </c>
      <c r="H30" s="12" t="s">
        <v>32</v>
      </c>
      <c r="I30" s="13">
        <f>(89*I12)/I26</f>
        <v>272.62198334317799</v>
      </c>
      <c r="K30" s="12" t="s">
        <v>39</v>
      </c>
      <c r="L30" s="13">
        <f>I7+L28</f>
        <v>450.48878871522538</v>
      </c>
    </row>
    <row r="31" spans="1:12" x14ac:dyDescent="0.3">
      <c r="A31">
        <v>457.84</v>
      </c>
      <c r="B31" s="1" t="s">
        <v>5</v>
      </c>
      <c r="C31" s="1" t="s">
        <v>5</v>
      </c>
      <c r="D31" s="1" t="s">
        <v>5</v>
      </c>
    </row>
    <row r="32" spans="1:12" x14ac:dyDescent="0.3">
      <c r="A32">
        <v>455.8</v>
      </c>
      <c r="B32" s="1" t="s">
        <v>5</v>
      </c>
      <c r="C32" s="1" t="s">
        <v>5</v>
      </c>
      <c r="D32" s="1" t="s">
        <v>5</v>
      </c>
    </row>
    <row r="33" spans="1:13" x14ac:dyDescent="0.3">
      <c r="A33">
        <v>433.94</v>
      </c>
      <c r="B33" s="1" t="s">
        <v>5</v>
      </c>
      <c r="C33" s="1" t="s">
        <v>5</v>
      </c>
      <c r="D33" s="1" t="s">
        <v>5</v>
      </c>
      <c r="G33" s="5" t="s">
        <v>42</v>
      </c>
      <c r="H33" t="s">
        <v>43</v>
      </c>
      <c r="I33">
        <v>0.1</v>
      </c>
    </row>
    <row r="34" spans="1:13" x14ac:dyDescent="0.3">
      <c r="A34">
        <v>450.01</v>
      </c>
      <c r="B34" s="1" t="s">
        <v>5</v>
      </c>
      <c r="C34" s="1" t="s">
        <v>5</v>
      </c>
      <c r="D34" s="1" t="s">
        <v>5</v>
      </c>
      <c r="H34" t="s">
        <v>44</v>
      </c>
      <c r="J34" t="s">
        <v>46</v>
      </c>
      <c r="K34">
        <v>447.58</v>
      </c>
    </row>
    <row r="35" spans="1:13" x14ac:dyDescent="0.3">
      <c r="A35">
        <v>425.76</v>
      </c>
      <c r="B35" s="1" t="s">
        <v>5</v>
      </c>
      <c r="C35" s="1" t="s">
        <v>5</v>
      </c>
      <c r="D35" s="1" t="s">
        <v>5</v>
      </c>
      <c r="H35" t="s">
        <v>45</v>
      </c>
      <c r="J35" t="s">
        <v>47</v>
      </c>
      <c r="K35">
        <v>447</v>
      </c>
    </row>
    <row r="36" spans="1:13" x14ac:dyDescent="0.3">
      <c r="A36">
        <v>452.64</v>
      </c>
      <c r="B36" s="1" t="s">
        <v>5</v>
      </c>
      <c r="C36" s="1" t="s">
        <v>5</v>
      </c>
      <c r="D36" s="1" t="s">
        <v>5</v>
      </c>
    </row>
    <row r="37" spans="1:13" x14ac:dyDescent="0.3">
      <c r="A37">
        <v>456.01</v>
      </c>
      <c r="B37" s="1" t="s">
        <v>5</v>
      </c>
      <c r="C37" s="1" t="s">
        <v>5</v>
      </c>
      <c r="D37" s="1" t="s">
        <v>5</v>
      </c>
      <c r="J37" t="s">
        <v>48</v>
      </c>
      <c r="K37" s="14">
        <f>(447.58-447)/(I11/SQRT((I19)))</f>
        <v>0.39056970997430324</v>
      </c>
      <c r="M37" t="s">
        <v>50</v>
      </c>
    </row>
    <row r="38" spans="1:13" x14ac:dyDescent="0.3">
      <c r="A38">
        <v>460.14</v>
      </c>
      <c r="B38" s="1" t="s">
        <v>5</v>
      </c>
      <c r="C38" s="1" t="s">
        <v>5</v>
      </c>
      <c r="D38" s="1" t="s">
        <v>5</v>
      </c>
      <c r="J38" t="s">
        <v>49</v>
      </c>
      <c r="K38">
        <f>_xlfn.NORM.S.INV(1-I33/2)</f>
        <v>1.6448536269514715</v>
      </c>
      <c r="M38" t="s">
        <v>51</v>
      </c>
    </row>
    <row r="39" spans="1:13" x14ac:dyDescent="0.3">
      <c r="A39">
        <v>470.75</v>
      </c>
      <c r="B39" s="1" t="s">
        <v>5</v>
      </c>
      <c r="C39" s="1" t="s">
        <v>5</v>
      </c>
      <c r="D39" s="1" t="s">
        <v>5</v>
      </c>
    </row>
    <row r="40" spans="1:13" x14ac:dyDescent="0.3">
      <c r="A40">
        <v>448.28</v>
      </c>
      <c r="B40" s="1" t="s">
        <v>5</v>
      </c>
      <c r="C40" s="1" t="s">
        <v>5</v>
      </c>
      <c r="D40" s="1" t="s">
        <v>5</v>
      </c>
    </row>
    <row r="41" spans="1:13" x14ac:dyDescent="0.3">
      <c r="A41">
        <v>441.19</v>
      </c>
      <c r="B41" s="1" t="s">
        <v>5</v>
      </c>
      <c r="C41" s="1" t="s">
        <v>5</v>
      </c>
      <c r="D41" s="1" t="s">
        <v>5</v>
      </c>
      <c r="G41" s="5" t="s">
        <v>52</v>
      </c>
      <c r="H41" t="s">
        <v>53</v>
      </c>
    </row>
    <row r="42" spans="1:13" x14ac:dyDescent="0.3">
      <c r="A42">
        <v>453.02</v>
      </c>
      <c r="B42" s="1" t="s">
        <v>5</v>
      </c>
      <c r="C42" s="1" t="s">
        <v>5</v>
      </c>
      <c r="D42" s="1" t="s">
        <v>5</v>
      </c>
    </row>
    <row r="43" spans="1:13" x14ac:dyDescent="0.3">
      <c r="A43">
        <v>434.5</v>
      </c>
      <c r="B43" s="1" t="s">
        <v>5</v>
      </c>
      <c r="C43" s="1" t="s">
        <v>5</v>
      </c>
      <c r="D43" s="1" t="s">
        <v>5</v>
      </c>
    </row>
    <row r="44" spans="1:13" x14ac:dyDescent="0.3">
      <c r="A44">
        <v>409.16</v>
      </c>
      <c r="B44" s="1" t="s">
        <v>5</v>
      </c>
      <c r="C44" s="1" t="s">
        <v>5</v>
      </c>
      <c r="D44" s="1" t="s">
        <v>5</v>
      </c>
    </row>
    <row r="45" spans="1:13" x14ac:dyDescent="0.3">
      <c r="A45">
        <v>447.41</v>
      </c>
      <c r="B45" s="1" t="s">
        <v>5</v>
      </c>
      <c r="C45" s="1" t="s">
        <v>5</v>
      </c>
      <c r="D45" s="1" t="s">
        <v>5</v>
      </c>
    </row>
    <row r="46" spans="1:13" x14ac:dyDescent="0.3">
      <c r="A46">
        <v>457.19</v>
      </c>
      <c r="B46" s="1" t="s">
        <v>5</v>
      </c>
      <c r="C46" s="1" t="s">
        <v>5</v>
      </c>
      <c r="D46" s="1" t="s">
        <v>5</v>
      </c>
    </row>
    <row r="47" spans="1:13" x14ac:dyDescent="0.3">
      <c r="A47">
        <v>432.33</v>
      </c>
      <c r="B47" s="1" t="s">
        <v>5</v>
      </c>
      <c r="C47" s="1" t="s">
        <v>5</v>
      </c>
      <c r="D47" s="1" t="s">
        <v>5</v>
      </c>
    </row>
    <row r="48" spans="1:13" x14ac:dyDescent="0.3">
      <c r="A48">
        <v>454.41</v>
      </c>
      <c r="B48" s="1" t="s">
        <v>5</v>
      </c>
      <c r="C48" s="1" t="s">
        <v>5</v>
      </c>
      <c r="D48" s="1" t="s">
        <v>5</v>
      </c>
    </row>
    <row r="49" spans="1:11" x14ac:dyDescent="0.3">
      <c r="A49">
        <v>434.35</v>
      </c>
      <c r="B49" s="1" t="s">
        <v>5</v>
      </c>
      <c r="C49" s="1" t="s">
        <v>5</v>
      </c>
      <c r="D49" s="1" t="s">
        <v>5</v>
      </c>
    </row>
    <row r="50" spans="1:11" x14ac:dyDescent="0.3">
      <c r="A50">
        <v>448.72</v>
      </c>
      <c r="B50" s="1" t="s">
        <v>5</v>
      </c>
      <c r="C50" s="1" t="s">
        <v>5</v>
      </c>
      <c r="D50" s="1" t="s">
        <v>5</v>
      </c>
    </row>
    <row r="51" spans="1:11" x14ac:dyDescent="0.3">
      <c r="A51">
        <v>448.71</v>
      </c>
      <c r="B51" s="1" t="s">
        <v>5</v>
      </c>
      <c r="C51" s="1" t="s">
        <v>5</v>
      </c>
      <c r="D51" s="1" t="s">
        <v>5</v>
      </c>
    </row>
    <row r="52" spans="1:11" x14ac:dyDescent="0.3">
      <c r="A52">
        <v>473.76</v>
      </c>
      <c r="B52" s="1" t="s">
        <v>5</v>
      </c>
      <c r="C52" s="1" t="s">
        <v>5</v>
      </c>
      <c r="D52" s="1" t="s">
        <v>5</v>
      </c>
    </row>
    <row r="53" spans="1:11" x14ac:dyDescent="0.3">
      <c r="A53">
        <v>460.26</v>
      </c>
      <c r="B53" s="1" t="s">
        <v>5</v>
      </c>
      <c r="C53" s="1" t="s">
        <v>5</v>
      </c>
      <c r="D53" s="1" t="s">
        <v>5</v>
      </c>
      <c r="H53" t="s">
        <v>54</v>
      </c>
    </row>
    <row r="54" spans="1:11" x14ac:dyDescent="0.3">
      <c r="A54">
        <v>453.22</v>
      </c>
      <c r="B54" s="1" t="s">
        <v>5</v>
      </c>
      <c r="C54" s="1" t="s">
        <v>5</v>
      </c>
      <c r="D54" s="1" t="s">
        <v>5</v>
      </c>
      <c r="H54" t="s">
        <v>55</v>
      </c>
    </row>
    <row r="55" spans="1:11" x14ac:dyDescent="0.3">
      <c r="A55">
        <v>447.66</v>
      </c>
      <c r="B55" s="1" t="s">
        <v>5</v>
      </c>
      <c r="C55" s="1" t="s">
        <v>5</v>
      </c>
      <c r="D55" s="1" t="s">
        <v>5</v>
      </c>
    </row>
    <row r="56" spans="1:11" x14ac:dyDescent="0.3">
      <c r="A56">
        <v>451.64</v>
      </c>
      <c r="B56" s="1" t="s">
        <v>5</v>
      </c>
      <c r="C56" s="1" t="s">
        <v>5</v>
      </c>
      <c r="D56" s="1" t="s">
        <v>5</v>
      </c>
      <c r="G56" s="5" t="s">
        <v>56</v>
      </c>
      <c r="H56" t="s">
        <v>57</v>
      </c>
    </row>
    <row r="57" spans="1:11" x14ac:dyDescent="0.3">
      <c r="A57">
        <v>457.64</v>
      </c>
      <c r="B57" s="1" t="s">
        <v>5</v>
      </c>
      <c r="C57" s="1" t="s">
        <v>5</v>
      </c>
      <c r="D57" s="1" t="s">
        <v>5</v>
      </c>
      <c r="H57" t="s">
        <v>58</v>
      </c>
      <c r="I57">
        <v>0.34799999999999998</v>
      </c>
    </row>
    <row r="58" spans="1:11" x14ac:dyDescent="0.3">
      <c r="A58">
        <v>456.45</v>
      </c>
      <c r="B58" s="1" t="s">
        <v>5</v>
      </c>
      <c r="C58" s="1" t="s">
        <v>5</v>
      </c>
      <c r="D58" s="1" t="s">
        <v>5</v>
      </c>
    </row>
    <row r="59" spans="1:11" x14ac:dyDescent="0.3">
      <c r="A59">
        <v>450.14</v>
      </c>
      <c r="B59" s="1" t="s">
        <v>5</v>
      </c>
      <c r="C59" s="1" t="s">
        <v>5</v>
      </c>
      <c r="D59" s="1" t="s">
        <v>5</v>
      </c>
      <c r="H59" t="s">
        <v>59</v>
      </c>
    </row>
    <row r="60" spans="1:11" x14ac:dyDescent="0.3">
      <c r="A60">
        <v>460.86</v>
      </c>
      <c r="B60" s="1" t="s">
        <v>5</v>
      </c>
      <c r="C60" s="1" t="s">
        <v>5</v>
      </c>
      <c r="D60" s="1" t="s">
        <v>5</v>
      </c>
      <c r="H60" t="s">
        <v>60</v>
      </c>
    </row>
    <row r="61" spans="1:11" x14ac:dyDescent="0.3">
      <c r="A61">
        <v>426.31</v>
      </c>
      <c r="B61" s="1" t="s">
        <v>5</v>
      </c>
      <c r="C61" s="1" t="s">
        <v>5</v>
      </c>
      <c r="D61" s="1" t="s">
        <v>5</v>
      </c>
      <c r="H61" t="s">
        <v>61</v>
      </c>
    </row>
    <row r="62" spans="1:11" x14ac:dyDescent="0.3">
      <c r="A62">
        <v>470.66</v>
      </c>
      <c r="B62" s="1" t="s">
        <v>5</v>
      </c>
      <c r="C62" s="1" t="s">
        <v>5</v>
      </c>
      <c r="D62" s="1" t="s">
        <v>5</v>
      </c>
    </row>
    <row r="63" spans="1:11" x14ac:dyDescent="0.3">
      <c r="A63">
        <v>435.75</v>
      </c>
      <c r="B63" s="1" t="s">
        <v>5</v>
      </c>
      <c r="C63" s="1" t="s">
        <v>5</v>
      </c>
      <c r="D63" s="1" t="s">
        <v>5</v>
      </c>
      <c r="G63" s="5" t="s">
        <v>62</v>
      </c>
      <c r="H63" t="s">
        <v>63</v>
      </c>
      <c r="J63" t="s">
        <v>67</v>
      </c>
      <c r="K63" t="s">
        <v>68</v>
      </c>
    </row>
    <row r="64" spans="1:11" x14ac:dyDescent="0.3">
      <c r="A64">
        <v>443.88</v>
      </c>
      <c r="B64" s="1" t="s">
        <v>5</v>
      </c>
      <c r="C64" s="1" t="s">
        <v>5</v>
      </c>
      <c r="D64" s="1" t="s">
        <v>5</v>
      </c>
    </row>
    <row r="65" spans="1:9" x14ac:dyDescent="0.3">
      <c r="A65">
        <v>461.64</v>
      </c>
      <c r="B65" s="1" t="s">
        <v>5</v>
      </c>
      <c r="C65" s="1" t="s">
        <v>5</v>
      </c>
      <c r="D65" s="1" t="s">
        <v>5</v>
      </c>
      <c r="H65" t="s">
        <v>64</v>
      </c>
    </row>
    <row r="66" spans="1:9" x14ac:dyDescent="0.3">
      <c r="A66">
        <v>464.22</v>
      </c>
      <c r="B66" s="1" t="s">
        <v>5</v>
      </c>
      <c r="C66" s="1" t="s">
        <v>5</v>
      </c>
      <c r="D66" s="1" t="s">
        <v>5</v>
      </c>
      <c r="H66" t="s">
        <v>65</v>
      </c>
      <c r="I66">
        <v>448.9</v>
      </c>
    </row>
    <row r="67" spans="1:9" x14ac:dyDescent="0.3">
      <c r="A67">
        <v>468.81</v>
      </c>
      <c r="B67" s="1" t="s">
        <v>5</v>
      </c>
      <c r="C67" s="1" t="s">
        <v>5</v>
      </c>
      <c r="D67" s="1" t="s">
        <v>5</v>
      </c>
    </row>
    <row r="68" spans="1:9" x14ac:dyDescent="0.3">
      <c r="A68">
        <v>430.29</v>
      </c>
      <c r="B68" s="1" t="s">
        <v>5</v>
      </c>
      <c r="C68" s="1" t="s">
        <v>5</v>
      </c>
      <c r="D68" s="1" t="s">
        <v>5</v>
      </c>
      <c r="H68" t="s">
        <v>66</v>
      </c>
    </row>
    <row r="69" spans="1:9" x14ac:dyDescent="0.3">
      <c r="A69">
        <v>450.52</v>
      </c>
      <c r="B69" s="1" t="s">
        <v>5</v>
      </c>
      <c r="C69" s="1" t="s">
        <v>5</v>
      </c>
      <c r="D69" s="1" t="s">
        <v>5</v>
      </c>
      <c r="H69" t="s">
        <v>69</v>
      </c>
      <c r="I69">
        <v>0.6</v>
      </c>
    </row>
    <row r="70" spans="1:9" x14ac:dyDescent="0.3">
      <c r="A70">
        <v>437.74</v>
      </c>
      <c r="B70" s="1" t="s">
        <v>5</v>
      </c>
      <c r="C70" s="1" t="s">
        <v>5</v>
      </c>
      <c r="D70" s="1" t="s">
        <v>5</v>
      </c>
    </row>
    <row r="71" spans="1:9" x14ac:dyDescent="0.3">
      <c r="A71">
        <v>440.16</v>
      </c>
      <c r="B71" s="1" t="s">
        <v>5</v>
      </c>
      <c r="C71" s="1" t="s">
        <v>5</v>
      </c>
      <c r="D71" s="1" t="s">
        <v>5</v>
      </c>
      <c r="H71" t="s">
        <v>70</v>
      </c>
    </row>
    <row r="72" spans="1:9" x14ac:dyDescent="0.3">
      <c r="A72">
        <v>464.07</v>
      </c>
      <c r="B72" s="1" t="s">
        <v>5</v>
      </c>
      <c r="C72" s="1" t="s">
        <v>5</v>
      </c>
      <c r="D72" s="1" t="s">
        <v>5</v>
      </c>
      <c r="H72" t="s">
        <v>71</v>
      </c>
      <c r="I72">
        <v>0.72499999999999998</v>
      </c>
    </row>
    <row r="73" spans="1:9" x14ac:dyDescent="0.3">
      <c r="A73">
        <v>447.48</v>
      </c>
      <c r="B73" s="1" t="s">
        <v>5</v>
      </c>
      <c r="C73" s="1" t="s">
        <v>5</v>
      </c>
      <c r="D73" s="1" t="s">
        <v>5</v>
      </c>
    </row>
    <row r="74" spans="1:9" x14ac:dyDescent="0.3">
      <c r="A74">
        <v>447.06</v>
      </c>
      <c r="B74" s="1" t="s">
        <v>5</v>
      </c>
      <c r="C74" s="1" t="s">
        <v>5</v>
      </c>
      <c r="D74" s="1" t="s">
        <v>5</v>
      </c>
      <c r="H74" t="s">
        <v>72</v>
      </c>
    </row>
    <row r="75" spans="1:9" x14ac:dyDescent="0.3">
      <c r="A75">
        <v>448.47</v>
      </c>
      <c r="B75" s="1" t="s">
        <v>5</v>
      </c>
      <c r="C75" s="1" t="s">
        <v>5</v>
      </c>
      <c r="D75" s="1" t="s">
        <v>5</v>
      </c>
      <c r="H75" t="s">
        <v>73</v>
      </c>
    </row>
    <row r="76" spans="1:9" x14ac:dyDescent="0.3">
      <c r="A76">
        <v>447.28</v>
      </c>
      <c r="B76" s="1" t="s">
        <v>5</v>
      </c>
      <c r="C76" s="1" t="s">
        <v>5</v>
      </c>
      <c r="D76" s="1" t="s">
        <v>5</v>
      </c>
    </row>
    <row r="77" spans="1:9" x14ac:dyDescent="0.3">
      <c r="A77">
        <v>441.03</v>
      </c>
      <c r="B77" s="1" t="s">
        <v>5</v>
      </c>
      <c r="C77" s="1" t="s">
        <v>5</v>
      </c>
      <c r="D77" s="1" t="s">
        <v>5</v>
      </c>
    </row>
    <row r="78" spans="1:9" x14ac:dyDescent="0.3">
      <c r="A78">
        <v>442.45</v>
      </c>
      <c r="B78" s="1" t="s">
        <v>5</v>
      </c>
      <c r="C78" s="1" t="s">
        <v>5</v>
      </c>
      <c r="D78" s="1" t="s">
        <v>5</v>
      </c>
    </row>
    <row r="79" spans="1:9" x14ac:dyDescent="0.3">
      <c r="A79">
        <v>456.09</v>
      </c>
      <c r="B79" s="1" t="s">
        <v>5</v>
      </c>
      <c r="C79" s="1" t="s">
        <v>5</v>
      </c>
      <c r="D79" s="1" t="s">
        <v>5</v>
      </c>
    </row>
    <row r="80" spans="1:9" x14ac:dyDescent="0.3">
      <c r="A80">
        <v>438.91</v>
      </c>
      <c r="B80" s="1" t="s">
        <v>5</v>
      </c>
      <c r="C80" s="1" t="s">
        <v>5</v>
      </c>
      <c r="D80" s="1" t="s">
        <v>5</v>
      </c>
    </row>
    <row r="81" spans="1:4" x14ac:dyDescent="0.3">
      <c r="A81">
        <v>408.05</v>
      </c>
      <c r="B81" s="1" t="s">
        <v>5</v>
      </c>
      <c r="C81" s="1" t="s">
        <v>5</v>
      </c>
      <c r="D81" s="1" t="s">
        <v>5</v>
      </c>
    </row>
    <row r="82" spans="1:4" x14ac:dyDescent="0.3">
      <c r="A82">
        <v>477.61</v>
      </c>
      <c r="B82" s="1" t="s">
        <v>5</v>
      </c>
      <c r="C82" s="1" t="s">
        <v>5</v>
      </c>
      <c r="D82" s="1" t="s">
        <v>5</v>
      </c>
    </row>
    <row r="83" spans="1:4" x14ac:dyDescent="0.3">
      <c r="A83">
        <v>448.76</v>
      </c>
      <c r="B83" s="1" t="s">
        <v>5</v>
      </c>
      <c r="C83" s="1" t="s">
        <v>5</v>
      </c>
      <c r="D83" s="1" t="s">
        <v>5</v>
      </c>
    </row>
    <row r="84" spans="1:4" x14ac:dyDescent="0.3">
      <c r="A84">
        <v>450.06</v>
      </c>
      <c r="B84" s="1" t="s">
        <v>5</v>
      </c>
      <c r="C84" s="1" t="s">
        <v>5</v>
      </c>
      <c r="D84" s="1" t="s">
        <v>5</v>
      </c>
    </row>
    <row r="85" spans="1:4" x14ac:dyDescent="0.3">
      <c r="A85">
        <v>458.04</v>
      </c>
      <c r="B85" s="1" t="s">
        <v>5</v>
      </c>
      <c r="C85" s="1" t="s">
        <v>5</v>
      </c>
      <c r="D85" s="1" t="s">
        <v>5</v>
      </c>
    </row>
    <row r="86" spans="1:4" x14ac:dyDescent="0.3">
      <c r="A86">
        <v>426.55</v>
      </c>
      <c r="B86" s="1" t="s">
        <v>5</v>
      </c>
      <c r="C86" s="1" t="s">
        <v>5</v>
      </c>
      <c r="D86" s="1" t="s">
        <v>5</v>
      </c>
    </row>
    <row r="87" spans="1:4" x14ac:dyDescent="0.3">
      <c r="A87">
        <v>453.04</v>
      </c>
      <c r="B87" s="1" t="s">
        <v>5</v>
      </c>
      <c r="C87" s="1" t="s">
        <v>5</v>
      </c>
      <c r="D87" s="1" t="s">
        <v>5</v>
      </c>
    </row>
    <row r="88" spans="1:4" x14ac:dyDescent="0.3">
      <c r="A88">
        <v>446.84</v>
      </c>
      <c r="B88" s="1" t="s">
        <v>5</v>
      </c>
      <c r="C88" s="1" t="s">
        <v>5</v>
      </c>
      <c r="D88" s="1" t="s">
        <v>5</v>
      </c>
    </row>
    <row r="89" spans="1:4" x14ac:dyDescent="0.3">
      <c r="A89">
        <v>429.2</v>
      </c>
      <c r="B89" s="1" t="s">
        <v>5</v>
      </c>
      <c r="C89" s="1" t="s">
        <v>5</v>
      </c>
      <c r="D89" s="1" t="s">
        <v>5</v>
      </c>
    </row>
    <row r="90" spans="1:4" x14ac:dyDescent="0.3">
      <c r="A90">
        <v>423.02</v>
      </c>
      <c r="B90" s="1" t="s">
        <v>5</v>
      </c>
      <c r="C90" s="1" t="s">
        <v>5</v>
      </c>
      <c r="D90" s="1" t="s">
        <v>5</v>
      </c>
    </row>
    <row r="91" spans="1:4" x14ac:dyDescent="0.3">
      <c r="A91">
        <v>437.14</v>
      </c>
      <c r="B91" s="1" t="s">
        <v>5</v>
      </c>
      <c r="C91" s="1" t="s">
        <v>5</v>
      </c>
      <c r="D91" s="1" t="s">
        <v>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BC8-D46C-4E4A-9E2B-E0505FFEC23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5C01B-686F-4CFC-8E9C-2D6CFC35C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A. DA SILVA CATELA</dc:creator>
  <cp:lastModifiedBy>JULIO A. DA SILVA CATELA</cp:lastModifiedBy>
  <dcterms:created xsi:type="dcterms:W3CDTF">2025-06-24T15:01:24Z</dcterms:created>
  <dcterms:modified xsi:type="dcterms:W3CDTF">2025-06-24T15:38:34Z</dcterms:modified>
</cp:coreProperties>
</file>