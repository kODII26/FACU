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2390429d202d0/Desktop/"/>
    </mc:Choice>
  </mc:AlternateContent>
  <xr:revisionPtr revIDLastSave="1" documentId="8_{39FE5740-DB1A-4E8E-A085-06062E864BF1}" xr6:coauthVersionLast="47" xr6:coauthVersionMax="47" xr10:uidLastSave="{F202E4E7-AD73-41E3-B867-50000A7F4E4F}"/>
  <bookViews>
    <workbookView xWindow="-108" yWindow="-108" windowWidth="23256" windowHeight="12456" tabRatio="5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Excel_BuiltIn_Sheet_Title" localSheetId="0">"Hoja1"</definedName>
    <definedName name="Excel_BuiltIn_Sheet_Title" localSheetId="1">"Hoja2"</definedName>
    <definedName name="Excel_BuiltIn_Sheet_Title" localSheetId="2">"Hoja3"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L43" i="1" l="1"/>
  <c r="L42" i="1"/>
</calcChain>
</file>

<file path=xl/sharedStrings.xml><?xml version="1.0" encoding="utf-8"?>
<sst xmlns="http://schemas.openxmlformats.org/spreadsheetml/2006/main" count="59" uniqueCount="58">
  <si>
    <t>x</t>
  </si>
  <si>
    <t>y</t>
  </si>
  <si>
    <t>En ref. Al modelo de una presa:</t>
  </si>
  <si>
    <t>X</t>
  </si>
  <si>
    <t>Velocidad del flujo</t>
  </si>
  <si>
    <t>Y</t>
  </si>
  <si>
    <t>Esfuerzos sobre la placa base</t>
  </si>
  <si>
    <t>P1</t>
  </si>
  <si>
    <t>RC1</t>
  </si>
  <si>
    <t>a)</t>
  </si>
  <si>
    <t>b)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</si>
  <si>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</si>
  <si>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</si>
  <si>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</si>
  <si>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</si>
  <si>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</si>
  <si>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</si>
  <si>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</si>
  <si>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</si>
  <si>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</si>
  <si>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</si>
  <si>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</si>
  <si>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</si>
  <si>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</si>
  <si>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</si>
  <si>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</si>
  <si>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</si>
  <si>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</si>
  <si>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</si>
  <si>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</si>
  <si>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</si>
  <si>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</si>
  <si>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</si>
  <si>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</si>
  <si>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</si>
  <si>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1</t>
  </si>
  <si>
    <t>Los valores mas relevantes obtenidos son:</t>
  </si>
  <si>
    <t>Coeficientes del modelo:</t>
  </si>
  <si>
    <t>Intervalos de confianza</t>
  </si>
  <si>
    <t>de los coeficientes:</t>
  </si>
  <si>
    <t>Para alpha:</t>
  </si>
  <si>
    <t>[0,138;-5,668]</t>
  </si>
  <si>
    <t>Para betha:</t>
  </si>
  <si>
    <t>[0,000002;0,626]</t>
  </si>
  <si>
    <t>Varianza de la regresion:</t>
  </si>
  <si>
    <t>c)</t>
  </si>
  <si>
    <t>El coeficiente de correlacion es 0.9512, muy cercano a 1,  lo que indica una correlacion muy fuerte, o sea que cuando la velocidad de flujo(X) aumenta tambien aumentan los esfuerzos</t>
  </si>
  <si>
    <t xml:space="preserve">sobre la placa base(Y). </t>
  </si>
  <si>
    <t>El coeficiente de determinacion R2=0,904 indica que el 90% de la variabilidad de y se explica por la variable x, que es un buen numero</t>
  </si>
  <si>
    <t>Por ultimo, graficamente se ve que los puntos en el dispersiograma estan alineados muy cerca de la linea de tendencia</t>
  </si>
  <si>
    <t>Podemos concluir que es un buen ajuste</t>
  </si>
  <si>
    <t>d)</t>
  </si>
  <si>
    <t>Estimacion puntual:</t>
  </si>
  <si>
    <t>y=0,8112x+14,825</t>
  </si>
  <si>
    <t>Si tiene sentido</t>
  </si>
  <si>
    <t>y(P1)= 0,8112*14+14,825=</t>
  </si>
  <si>
    <t>Usando la ecuación de regresión, se estima que cuando la velocidad del flujo es 14, los esfuerzos sobre la placa base serán aproximadamente 26,18 unidades.</t>
  </si>
  <si>
    <t>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</si>
</sst>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4">
    <font>
      <sz val="10"/>
      <color rgb="FF000000"/>
      <name val="Sans"/>
      <charset val="1"/>
    </font>
    <font>
      <sz val="10"/>
      <color rgb="FF000000"/>
      <name val="Sans"/>
    </font>
    <font>
      <sz val="10"/>
      <color rgb="FFFF0000"/>
      <name val="Sans"/>
    </font>
    <font>
      <i/>
      <sz val="10"/>
      <color rgb="FF000000"/>
      <name val="Sans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 applyAlignment="1" applyProtection="1"/>
    <xf numFmtId="0" fontId="1" fillId="0" borderId="0" xfId="0" applyFont="1" applyBorder="1" applyAlignment="1" applyProtection="1"/>
    <xf numFmtId="164" fontId="1" fillId="0" borderId="0" xfId="0" applyNumberFormat="1" applyFont="1" applyBorder="1" applyAlignment="1" applyProtection="1"/>
    <xf numFmtId="0" fontId="2" fillId="0" borderId="0" xfId="0" applyFont="1" applyBorder="1" applyAlignment="1" applyProtection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0" fillId="0" borderId="0" xfId="0" applyFont="1" applyFill="1" applyBorder="1" applyAlignment="1" applyProtection="1"/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501450835081601"/>
                  <c:y val="-2.356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Hoja1!$A$2:$A$13</c:f>
              <c:numCache>
                <c:formatCode>General</c:formatCode>
                <c:ptCount val="12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</c:numCache>
            </c:numRef>
          </c:xVal>
          <c:yVal>
            <c:numRef>
              <c:f>Hoja1!$B$2:$B$13</c:f>
              <c:numCache>
                <c:formatCode>General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100</c:v>
                </c:pt>
                <c:pt idx="6">
                  <c:v>100</c:v>
                </c:pt>
                <c:pt idx="7">
                  <c:v>130</c:v>
                </c:pt>
                <c:pt idx="8">
                  <c:v>110</c:v>
                </c:pt>
                <c:pt idx="9">
                  <c:v>120</c:v>
                </c:pt>
                <c:pt idx="10">
                  <c:v>150</c:v>
                </c:pt>
                <c:pt idx="11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49-4964-92F1-75FD4B3F4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10624"/>
        <c:axId val="1670716864"/>
      </c:scatterChart>
      <c:valAx>
        <c:axId val="167071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0716864"/>
        <c:crosses val="autoZero"/>
        <c:crossBetween val="midCat"/>
      </c:valAx>
      <c:valAx>
        <c:axId val="16707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071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2</xdr:row>
      <xdr:rowOff>60960</xdr:rowOff>
    </xdr:from>
    <xdr:to>
      <xdr:col>17</xdr:col>
      <xdr:colOff>411480</xdr:colOff>
      <xdr:row>18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3EF08D-2469-9420-B924-94545B26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2"/>
  <sheetViews>
    <sheetView tabSelected="1" topLeftCell="D36" zoomScaleNormal="100" workbookViewId="0">
      <selection activeCell="K62" sqref="K62"/>
    </sheetView>
  </sheetViews>
  <sheetFormatPr baseColWidth="10" defaultColWidth="9" defaultRowHeight="13.2"/>
  <cols>
    <col min="1" max="9" width="9.109375" style="1" customWidth="1"/>
    <col min="10" max="10" width="2.88671875" style="1" customWidth="1"/>
    <col min="11" max="11" width="21.109375" style="1" customWidth="1"/>
    <col min="12" max="12" width="24.109375" style="1" customWidth="1"/>
    <col min="13" max="13" width="18.21875" style="1" customWidth="1"/>
    <col min="14" max="14" width="22.88671875" style="1" customWidth="1"/>
    <col min="15" max="15" width="17.77734375" style="1" customWidth="1"/>
    <col min="16" max="16" width="13.5546875" style="1" customWidth="1"/>
    <col min="17" max="17" width="12.88671875" style="1" customWidth="1"/>
    <col min="18" max="256" width="9.109375" style="1" customWidth="1"/>
  </cols>
  <sheetData>
    <row r="1" spans="1:10">
      <c r="A1" s="1" t="s">
        <v>0</v>
      </c>
      <c r="B1" s="1" t="s">
        <v>1</v>
      </c>
    </row>
    <row r="2" spans="1:10">
      <c r="A2" s="1">
        <v>50</v>
      </c>
      <c r="B2" s="1">
        <v>60</v>
      </c>
    </row>
    <row r="3" spans="1:10">
      <c r="A3" s="1">
        <v>60</v>
      </c>
      <c r="B3" s="1">
        <v>60</v>
      </c>
    </row>
    <row r="4" spans="1:10">
      <c r="A4" s="1">
        <v>70</v>
      </c>
      <c r="B4" s="1">
        <v>80</v>
      </c>
      <c r="E4" s="1" t="s">
        <v>2</v>
      </c>
      <c r="J4" s="4" t="s">
        <v>9</v>
      </c>
    </row>
    <row r="5" spans="1:10">
      <c r="A5" s="1">
        <v>80</v>
      </c>
      <c r="B5" s="1">
        <v>70</v>
      </c>
      <c r="E5" s="1" t="s">
        <v>3</v>
      </c>
      <c r="F5" s="1" t="s">
        <v>4</v>
      </c>
    </row>
    <row r="6" spans="1:10">
      <c r="A6" s="1">
        <v>90</v>
      </c>
      <c r="B6" s="1">
        <v>80</v>
      </c>
      <c r="E6" s="1" t="s">
        <v>5</v>
      </c>
      <c r="F6" s="1" t="s">
        <v>6</v>
      </c>
    </row>
    <row r="7" spans="1:10">
      <c r="A7" s="1">
        <v>100</v>
      </c>
      <c r="B7" s="1">
        <v>100</v>
      </c>
    </row>
    <row r="8" spans="1:10">
      <c r="A8" s="1">
        <v>110</v>
      </c>
      <c r="B8" s="1">
        <v>100</v>
      </c>
      <c r="E8" s="1" t="s">
        <v>7</v>
      </c>
      <c r="F8" s="1">
        <v>14</v>
      </c>
    </row>
    <row r="9" spans="1:10">
      <c r="A9" s="1">
        <v>120</v>
      </c>
      <c r="B9" s="1">
        <v>130</v>
      </c>
      <c r="E9" s="2" t="s">
        <v>8</v>
      </c>
      <c r="F9" s="3">
        <v>0.95</v>
      </c>
    </row>
    <row r="10" spans="1:10">
      <c r="A10" s="1">
        <v>130</v>
      </c>
      <c r="B10" s="1">
        <v>110</v>
      </c>
    </row>
    <row r="11" spans="1:10">
      <c r="A11" s="1">
        <v>140</v>
      </c>
      <c r="B11" s="1">
        <v>120</v>
      </c>
    </row>
    <row r="12" spans="1:10">
      <c r="A12" s="1">
        <v>150</v>
      </c>
      <c r="B12" s="1">
        <v>150</v>
      </c>
    </row>
    <row r="13" spans="1:10">
      <c r="A13" s="1">
        <v>160</v>
      </c>
      <c r="B13" s="1">
        <v>140</v>
      </c>
    </row>
    <row r="22" spans="10:19">
      <c r="J22" s="4" t="s">
        <v>10</v>
      </c>
      <c r="K22" t="s">
        <v>11</v>
      </c>
      <c r="L22"/>
      <c r="M22"/>
      <c r="N22"/>
      <c r="O22"/>
      <c r="P22"/>
      <c r="Q22"/>
      <c r="R22"/>
      <c r="S22"/>
    </row>
    <row r="23" spans="10:19" ht="13.8" thickBot="1">
      <c r="K23"/>
      <c r="L23"/>
      <c r="M23"/>
      <c r="N23"/>
      <c r="O23"/>
      <c r="P23"/>
      <c r="Q23"/>
      <c r="R23"/>
      <c r="S23"/>
    </row>
    <row r="24" spans="10:19">
      <c r="K24" s="8" t="s">
        <v>12</v>
      </c>
      <c r="L24" s="8"/>
      <c r="M24"/>
      <c r="N24"/>
      <c r="O24"/>
      <c r="P24"/>
      <c r="Q24"/>
      <c r="R24"/>
      <c r="S24"/>
    </row>
    <row r="25" spans="10:19">
      <c r="K25" s="5" t="s">
        <v>13</v>
      </c>
      <c r="L25" s="5">
        <v>0.9512031960481081</v>
      </c>
      <c r="M25"/>
      <c r="N25"/>
      <c r="O25"/>
      <c r="P25"/>
      <c r="Q25"/>
      <c r="R25"/>
      <c r="S25"/>
    </row>
    <row r="26" spans="10:19">
      <c r="K26" s="5" t="s">
        <v>14</v>
      </c>
      <c r="L26" s="5">
        <v>0.9047875201721356</v>
      </c>
      <c r="M26"/>
      <c r="N26"/>
      <c r="O26"/>
      <c r="P26"/>
      <c r="Q26"/>
      <c r="R26"/>
      <c r="S26"/>
    </row>
    <row r="27" spans="10:19">
      <c r="K27" s="5" t="s">
        <v>15</v>
      </c>
      <c r="L27" s="5">
        <v>0.89526627218934907</v>
      </c>
      <c r="M27"/>
      <c r="N27"/>
      <c r="O27"/>
      <c r="P27"/>
      <c r="Q27"/>
      <c r="R27"/>
      <c r="S27"/>
    </row>
    <row r="28" spans="10:19">
      <c r="K28" s="5" t="s">
        <v>16</v>
      </c>
      <c r="L28" s="5">
        <v>9.9509285506920921</v>
      </c>
      <c r="M28"/>
      <c r="N28"/>
      <c r="O28"/>
      <c r="P28"/>
      <c r="Q28"/>
      <c r="R28"/>
      <c r="S28"/>
    </row>
    <row r="29" spans="10:19" ht="13.8" thickBot="1">
      <c r="K29" s="6" t="s">
        <v>17</v>
      </c>
      <c r="L29" s="6">
        <v>12</v>
      </c>
      <c r="M29"/>
      <c r="N29"/>
      <c r="O29"/>
      <c r="P29"/>
      <c r="Q29"/>
      <c r="R29"/>
      <c r="S29"/>
    </row>
    <row r="30" spans="10:19">
      <c r="K30"/>
      <c r="L30"/>
      <c r="M30"/>
      <c r="N30"/>
      <c r="O30"/>
      <c r="P30"/>
      <c r="Q30"/>
      <c r="R30"/>
      <c r="S30"/>
    </row>
    <row r="31" spans="10:19" ht="13.8" thickBot="1">
      <c r="K31" t="s">
        <v>18</v>
      </c>
      <c r="L31"/>
      <c r="M31"/>
      <c r="N31"/>
      <c r="O31"/>
      <c r="P31"/>
      <c r="Q31"/>
      <c r="R31"/>
      <c r="S31"/>
    </row>
    <row r="32" spans="10:19">
      <c r="K32" s="7"/>
      <c r="L32" s="7" t="s">
        <v>23</v>
      </c>
      <c r="M32" s="7" t="s">
        <v>24</v>
      </c>
      <c r="N32" s="7" t="s">
        <v>25</v>
      </c>
      <c r="O32" s="7" t="s">
        <v>26</v>
      </c>
      <c r="P32" s="7" t="s">
        <v>27</v>
      </c>
      <c r="Q32"/>
      <c r="R32"/>
      <c r="S32"/>
    </row>
    <row r="33" spans="11:19">
      <c r="K33" s="5" t="s">
        <v>19</v>
      </c>
      <c r="L33" s="5">
        <v>1</v>
      </c>
      <c r="M33" s="12">
        <v>9409.7902097902097</v>
      </c>
      <c r="N33" s="5">
        <v>9409.7902097902097</v>
      </c>
      <c r="O33" s="5">
        <v>95.028248587570616</v>
      </c>
      <c r="P33" s="5">
        <v>2.0070366103149091E-6</v>
      </c>
      <c r="Q33"/>
      <c r="R33"/>
      <c r="S33"/>
    </row>
    <row r="34" spans="11:19">
      <c r="K34" s="5" t="s">
        <v>20</v>
      </c>
      <c r="L34" s="5">
        <v>10</v>
      </c>
      <c r="M34" s="5">
        <v>990.2097902097903</v>
      </c>
      <c r="N34" s="5">
        <v>99.020979020979027</v>
      </c>
      <c r="O34" s="5"/>
      <c r="P34" s="5"/>
      <c r="Q34"/>
      <c r="R34"/>
      <c r="S34"/>
    </row>
    <row r="35" spans="11:19" ht="13.8" thickBot="1">
      <c r="K35" s="6" t="s">
        <v>21</v>
      </c>
      <c r="L35" s="6">
        <v>11</v>
      </c>
      <c r="M35" s="6">
        <v>10400</v>
      </c>
      <c r="N35" s="6"/>
      <c r="O35" s="6"/>
      <c r="P35" s="6"/>
      <c r="Q35"/>
      <c r="R35"/>
      <c r="S35"/>
    </row>
    <row r="36" spans="11:19" ht="13.8" thickBot="1">
      <c r="K36"/>
      <c r="L36"/>
      <c r="M36"/>
      <c r="N36"/>
      <c r="O36"/>
      <c r="P36"/>
      <c r="Q36"/>
      <c r="R36"/>
      <c r="S36"/>
    </row>
    <row r="37" spans="11:19">
      <c r="K37" s="7"/>
      <c r="L37" s="7" t="s">
        <v>28</v>
      </c>
      <c r="M37" s="7" t="s">
        <v>16</v>
      </c>
      <c r="N37" s="7" t="s">
        <v>29</v>
      </c>
      <c r="O37" s="7" t="s">
        <v>30</v>
      </c>
      <c r="P37" s="7" t="s">
        <v>31</v>
      </c>
      <c r="Q37" s="7" t="s">
        <v>32</v>
      </c>
      <c r="R37" s="7" t="s">
        <v>33</v>
      </c>
      <c r="S37" s="7" t="s">
        <v>34</v>
      </c>
    </row>
    <row r="38" spans="11:19">
      <c r="K38" s="5" t="s">
        <v>22</v>
      </c>
      <c r="L38" s="9">
        <v>14.825174825174841</v>
      </c>
      <c r="M38" s="5">
        <v>9.1975456353163487</v>
      </c>
      <c r="N38" s="5">
        <v>1.6118620567915161</v>
      </c>
      <c r="O38" s="9">
        <v>0.13806834514410879</v>
      </c>
      <c r="P38" s="9">
        <v>-5.6682339477902985</v>
      </c>
      <c r="Q38" s="5">
        <v>35.31858359813998</v>
      </c>
      <c r="R38" s="5">
        <v>-5.6682339477902985</v>
      </c>
      <c r="S38" s="5">
        <v>35.31858359813998</v>
      </c>
    </row>
    <row r="39" spans="11:19" ht="13.8" thickBot="1">
      <c r="K39" s="6" t="s">
        <v>35</v>
      </c>
      <c r="L39" s="10">
        <v>0.81118881118881103</v>
      </c>
      <c r="M39" s="6">
        <v>8.3213844926677008E-2</v>
      </c>
      <c r="N39" s="6">
        <v>9.7482433590658069</v>
      </c>
      <c r="O39" s="10">
        <v>2.0070366103149095E-6</v>
      </c>
      <c r="P39" s="10">
        <v>0.62577681028452103</v>
      </c>
      <c r="Q39" s="6">
        <v>0.99660081209310103</v>
      </c>
      <c r="R39" s="6">
        <v>0.62577681028452103</v>
      </c>
      <c r="S39" s="6">
        <v>0.99660081209310103</v>
      </c>
    </row>
    <row r="40" spans="11:19">
      <c r="K40"/>
      <c r="L40"/>
      <c r="M40"/>
      <c r="N40"/>
      <c r="O40"/>
      <c r="P40"/>
      <c r="Q40"/>
      <c r="R40"/>
      <c r="S40"/>
    </row>
    <row r="41" spans="11:19">
      <c r="K41" s="1" t="s">
        <v>36</v>
      </c>
      <c r="L41"/>
      <c r="M41"/>
      <c r="N41"/>
      <c r="O41"/>
      <c r="P41"/>
      <c r="Q41"/>
      <c r="R41"/>
      <c r="S41"/>
    </row>
    <row r="42" spans="11:19">
      <c r="K42" s="11" t="s">
        <v>37</v>
      </c>
      <c r="L42">
        <f>L39</f>
        <v>0.81118881118881103</v>
      </c>
      <c r="M42"/>
      <c r="N42"/>
      <c r="O42"/>
      <c r="P42"/>
      <c r="Q42"/>
      <c r="R42"/>
      <c r="S42"/>
    </row>
    <row r="43" spans="11:19">
      <c r="L43" s="1">
        <f>L38</f>
        <v>14.825174825174841</v>
      </c>
    </row>
    <row r="44" spans="11:19">
      <c r="K44" s="11" t="s">
        <v>38</v>
      </c>
      <c r="L44" s="1" t="s">
        <v>40</v>
      </c>
      <c r="M44" s="1" t="s">
        <v>41</v>
      </c>
    </row>
    <row r="45" spans="11:19">
      <c r="K45" s="11" t="s">
        <v>39</v>
      </c>
      <c r="L45" s="1" t="s">
        <v>42</v>
      </c>
      <c r="M45" s="1" t="s">
        <v>43</v>
      </c>
    </row>
    <row r="47" spans="11:19">
      <c r="K47" s="11" t="s">
        <v>44</v>
      </c>
      <c r="L47" s="12">
        <v>9409.7902097902097</v>
      </c>
    </row>
    <row r="49" spans="10:13">
      <c r="J49" s="4" t="s">
        <v>45</v>
      </c>
      <c r="K49" t="s">
        <v>46</v>
      </c>
    </row>
    <row r="50" spans="10:13">
      <c r="K50" t="s">
        <v>47</v>
      </c>
    </row>
    <row r="51" spans="10:13">
      <c r="K51" t="s">
        <v>48</v>
      </c>
    </row>
    <row r="52" spans="10:13">
      <c r="K52" t="s">
        <v>49</v>
      </c>
    </row>
    <row r="53" spans="10:13">
      <c r="K53" t="s">
        <v>50</v>
      </c>
    </row>
    <row r="55" spans="10:13">
      <c r="J55" s="4" t="s">
        <v>51</v>
      </c>
      <c r="K55" t="s">
        <v>54</v>
      </c>
    </row>
    <row r="56" spans="10:13">
      <c r="K56" t="s">
        <v>52</v>
      </c>
      <c r="L56" t="s">
        <v>53</v>
      </c>
      <c r="M56"/>
    </row>
    <row r="57" spans="10:13">
      <c r="K57"/>
      <c r="L57" t="s">
        <v>55</v>
      </c>
      <c r="M57">
        <v>26.18</v>
      </c>
    </row>
    <row r="58" spans="10:13">
      <c r="K58" t="s">
        <v>56</v>
      </c>
    </row>
    <row r="62" spans="10:13">
      <c r="J62" s="4" t="s">
        <v>57</v>
      </c>
    </row>
  </sheetData>
  <pageMargins left="1" right="1" top="1.5277777777777799" bottom="1.6666666666666701" header="0.511811023622047" footer="1"/>
  <pageSetup paperSize="9" orientation="portrait" horizontalDpi="300" verticalDpi="300"/>
  <headerFooter>
    <oddFooter>&amp;CPage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zoomScaleNormal="100" workbookViewId="0">
      <selection activeCellId="1" sqref="E9:F9 A1"/>
    </sheetView>
  </sheetViews>
  <sheetFormatPr baseColWidth="10" defaultColWidth="9" defaultRowHeight="13.2"/>
  <cols>
    <col min="1" max="256" width="9.109375" style="1" customWidth="1"/>
  </cols>
  <sheetData/>
  <pageMargins left="1" right="1" top="1.5277777777777799" bottom="1.6666666666666701" header="0.511811023622047" footer="1"/>
  <pageSetup paperSize="9" orientation="portrait" horizontalDpi="300" verticalDpi="300"/>
  <headerFooter>
    <oddFooter>&amp;CPage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zoomScaleNormal="100" workbookViewId="0">
      <selection activeCellId="1" sqref="E9:F9 A1"/>
    </sheetView>
  </sheetViews>
  <sheetFormatPr baseColWidth="10" defaultColWidth="9" defaultRowHeight="13.2"/>
  <cols>
    <col min="1" max="256" width="9.109375" style="1" customWidth="1"/>
  </cols>
  <sheetData/>
  <pageMargins left="1" right="1" top="1.5277777777777799" bottom="1.6666666666666701" header="0.511811023622047" footer="1"/>
  <pageSetup paperSize="9" orientation="portrait" horizontalDpi="300" verticalDpi="300"/>
  <headerFooter>
    <oddFooter>&amp;CPage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jcatela</dc:creator>
  <dc:description/>
  <cp:lastModifiedBy>JULIO A. DA SILVA CATELA</cp:lastModifiedBy>
  <cp:revision>1</cp:revision>
  <dcterms:created xsi:type="dcterms:W3CDTF">2023-11-07T22:38:24Z</dcterms:created>
  <dcterms:modified xsi:type="dcterms:W3CDTF">2025-06-24T16:13:02Z</dcterms:modified>
  <dc:language>es-AR</dc:language>
</cp:coreProperties>
</file>