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32390429d202d0/Desktop/"/>
    </mc:Choice>
  </mc:AlternateContent>
  <xr:revisionPtr revIDLastSave="0" documentId="8_{4811E5F7-1C6C-477B-B543-1E9D0142D2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10" i="1"/>
  <c r="C108" i="1"/>
  <c r="I24" i="1" s="1"/>
  <c r="B11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4" i="1"/>
  <c r="C5" i="1"/>
  <c r="D5" i="1" s="1"/>
  <c r="E5" i="1" s="1"/>
  <c r="C6" i="1" l="1"/>
  <c r="I88" i="1"/>
  <c r="I64" i="1"/>
  <c r="I56" i="1"/>
  <c r="I48" i="1"/>
  <c r="I40" i="1"/>
  <c r="I96" i="1"/>
  <c r="I32" i="1"/>
  <c r="I80" i="1"/>
  <c r="I16" i="1"/>
  <c r="I72" i="1"/>
  <c r="I8" i="1"/>
  <c r="I95" i="1"/>
  <c r="I87" i="1"/>
  <c r="I79" i="1"/>
  <c r="I71" i="1"/>
  <c r="I63" i="1"/>
  <c r="I55" i="1"/>
  <c r="I47" i="1"/>
  <c r="I39" i="1"/>
  <c r="I31" i="1"/>
  <c r="I23" i="1"/>
  <c r="I15" i="1"/>
  <c r="I7" i="1"/>
  <c r="I94" i="1"/>
  <c r="I86" i="1"/>
  <c r="I78" i="1"/>
  <c r="I70" i="1"/>
  <c r="I62" i="1"/>
  <c r="I54" i="1"/>
  <c r="I46" i="1"/>
  <c r="I38" i="1"/>
  <c r="I30" i="1"/>
  <c r="I22" i="1"/>
  <c r="I14" i="1"/>
  <c r="I6" i="1"/>
  <c r="I93" i="1"/>
  <c r="I85" i="1"/>
  <c r="I77" i="1"/>
  <c r="I69" i="1"/>
  <c r="I61" i="1"/>
  <c r="I53" i="1"/>
  <c r="I45" i="1"/>
  <c r="I37" i="1"/>
  <c r="I29" i="1"/>
  <c r="I21" i="1"/>
  <c r="I13" i="1"/>
  <c r="I5" i="1"/>
  <c r="I4" i="1"/>
  <c r="I92" i="1"/>
  <c r="I84" i="1"/>
  <c r="I76" i="1"/>
  <c r="I68" i="1"/>
  <c r="I60" i="1"/>
  <c r="I52" i="1"/>
  <c r="I44" i="1"/>
  <c r="I36" i="1"/>
  <c r="I28" i="1"/>
  <c r="I20" i="1"/>
  <c r="I12" i="1"/>
  <c r="I102" i="1"/>
  <c r="I99" i="1"/>
  <c r="I91" i="1"/>
  <c r="I83" i="1"/>
  <c r="I75" i="1"/>
  <c r="I67" i="1"/>
  <c r="I59" i="1"/>
  <c r="I51" i="1"/>
  <c r="I43" i="1"/>
  <c r="I35" i="1"/>
  <c r="I27" i="1"/>
  <c r="I19" i="1"/>
  <c r="I11" i="1"/>
  <c r="I101" i="1"/>
  <c r="I98" i="1"/>
  <c r="I90" i="1"/>
  <c r="I82" i="1"/>
  <c r="I74" i="1"/>
  <c r="I66" i="1"/>
  <c r="I58" i="1"/>
  <c r="I50" i="1"/>
  <c r="I42" i="1"/>
  <c r="I34" i="1"/>
  <c r="I26" i="1"/>
  <c r="I18" i="1"/>
  <c r="I10" i="1"/>
  <c r="I100" i="1"/>
  <c r="I97" i="1"/>
  <c r="I89" i="1"/>
  <c r="I81" i="1"/>
  <c r="I73" i="1"/>
  <c r="I65" i="1"/>
  <c r="I57" i="1"/>
  <c r="I49" i="1"/>
  <c r="I41" i="1"/>
  <c r="I33" i="1"/>
  <c r="I25" i="1"/>
  <c r="I17" i="1"/>
  <c r="I9" i="1"/>
  <c r="C7" i="1" l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D6" i="1"/>
  <c r="F93" i="1"/>
  <c r="F92" i="1"/>
  <c r="F10" i="1"/>
  <c r="F11" i="1"/>
  <c r="F12" i="1"/>
  <c r="F13" i="1"/>
  <c r="F14" i="1"/>
  <c r="G15" i="1" s="1"/>
  <c r="J15" i="1" s="1"/>
  <c r="F15" i="1"/>
  <c r="F16" i="1"/>
  <c r="F17" i="1"/>
  <c r="F18" i="1"/>
  <c r="F19" i="1"/>
  <c r="F20" i="1"/>
  <c r="F21" i="1"/>
  <c r="F22" i="1"/>
  <c r="G23" i="1" s="1"/>
  <c r="J23" i="1" s="1"/>
  <c r="F23" i="1"/>
  <c r="F24" i="1"/>
  <c r="F25" i="1"/>
  <c r="F26" i="1"/>
  <c r="F27" i="1"/>
  <c r="G28" i="1" s="1"/>
  <c r="J28" i="1" s="1"/>
  <c r="F28" i="1"/>
  <c r="F29" i="1"/>
  <c r="F30" i="1"/>
  <c r="G31" i="1" s="1"/>
  <c r="J31" i="1" s="1"/>
  <c r="F31" i="1"/>
  <c r="F32" i="1"/>
  <c r="G33" i="1" s="1"/>
  <c r="J33" i="1" s="1"/>
  <c r="F33" i="1"/>
  <c r="F34" i="1"/>
  <c r="F35" i="1"/>
  <c r="G36" i="1" s="1"/>
  <c r="J36" i="1" s="1"/>
  <c r="F36" i="1"/>
  <c r="F37" i="1"/>
  <c r="F38" i="1"/>
  <c r="F39" i="1"/>
  <c r="F40" i="1"/>
  <c r="F41" i="1"/>
  <c r="F42" i="1"/>
  <c r="F43" i="1"/>
  <c r="G44" i="1" s="1"/>
  <c r="J44" i="1" s="1"/>
  <c r="F44" i="1"/>
  <c r="F45" i="1"/>
  <c r="F46" i="1"/>
  <c r="F47" i="1"/>
  <c r="F48" i="1"/>
  <c r="G49" i="1" s="1"/>
  <c r="J49" i="1" s="1"/>
  <c r="F49" i="1"/>
  <c r="F50" i="1"/>
  <c r="F51" i="1"/>
  <c r="G52" i="1" s="1"/>
  <c r="J52" i="1" s="1"/>
  <c r="F52" i="1"/>
  <c r="F53" i="1"/>
  <c r="F54" i="1"/>
  <c r="F55" i="1"/>
  <c r="F56" i="1"/>
  <c r="G57" i="1" s="1"/>
  <c r="J57" i="1" s="1"/>
  <c r="F57" i="1"/>
  <c r="F58" i="1"/>
  <c r="F59" i="1"/>
  <c r="F60" i="1"/>
  <c r="F61" i="1"/>
  <c r="F62" i="1"/>
  <c r="F63" i="1"/>
  <c r="F64" i="1"/>
  <c r="G65" i="1" s="1"/>
  <c r="J65" i="1" s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G84" i="1" s="1"/>
  <c r="J84" i="1" s="1"/>
  <c r="F84" i="1"/>
  <c r="F85" i="1"/>
  <c r="F86" i="1"/>
  <c r="G87" i="1" s="1"/>
  <c r="J87" i="1" s="1"/>
  <c r="F87" i="1"/>
  <c r="F88" i="1"/>
  <c r="F89" i="1"/>
  <c r="F90" i="1"/>
  <c r="F91" i="1"/>
  <c r="G92" i="1" s="1"/>
  <c r="J92" i="1" s="1"/>
  <c r="F9" i="1"/>
  <c r="G10" i="1" s="1"/>
  <c r="J10" i="1" s="1"/>
  <c r="G70" i="1" l="1"/>
  <c r="J70" i="1" s="1"/>
  <c r="G62" i="1"/>
  <c r="J62" i="1" s="1"/>
  <c r="G20" i="1"/>
  <c r="J20" i="1" s="1"/>
  <c r="G12" i="1"/>
  <c r="J12" i="1" s="1"/>
  <c r="G90" i="1"/>
  <c r="J90" i="1" s="1"/>
  <c r="G82" i="1"/>
  <c r="J82" i="1" s="1"/>
  <c r="G74" i="1"/>
  <c r="J74" i="1" s="1"/>
  <c r="G25" i="1"/>
  <c r="J25" i="1" s="1"/>
  <c r="G78" i="1"/>
  <c r="J78" i="1" s="1"/>
  <c r="G86" i="1"/>
  <c r="J86" i="1" s="1"/>
  <c r="G93" i="1"/>
  <c r="J93" i="1" s="1"/>
  <c r="G85" i="1"/>
  <c r="J85" i="1" s="1"/>
  <c r="G91" i="1"/>
  <c r="J91" i="1" s="1"/>
  <c r="G83" i="1"/>
  <c r="J83" i="1" s="1"/>
  <c r="G89" i="1"/>
  <c r="J89" i="1" s="1"/>
  <c r="G81" i="1"/>
  <c r="J81" i="1" s="1"/>
  <c r="G73" i="1"/>
  <c r="J73" i="1" s="1"/>
  <c r="G88" i="1"/>
  <c r="J88" i="1" s="1"/>
  <c r="G69" i="1"/>
  <c r="J69" i="1" s="1"/>
  <c r="G76" i="1"/>
  <c r="J76" i="1" s="1"/>
  <c r="G68" i="1"/>
  <c r="J68" i="1" s="1"/>
  <c r="G60" i="1"/>
  <c r="J60" i="1" s="1"/>
  <c r="G75" i="1"/>
  <c r="J75" i="1" s="1"/>
  <c r="G77" i="1"/>
  <c r="J77" i="1" s="1"/>
  <c r="G80" i="1"/>
  <c r="J80" i="1" s="1"/>
  <c r="G72" i="1"/>
  <c r="J72" i="1" s="1"/>
  <c r="G79" i="1"/>
  <c r="J79" i="1" s="1"/>
  <c r="G71" i="1"/>
  <c r="J71" i="1" s="1"/>
  <c r="G61" i="1"/>
  <c r="J61" i="1" s="1"/>
  <c r="G56" i="1"/>
  <c r="J56" i="1" s="1"/>
  <c r="G67" i="1"/>
  <c r="J67" i="1" s="1"/>
  <c r="G59" i="1"/>
  <c r="J59" i="1" s="1"/>
  <c r="G64" i="1"/>
  <c r="J64" i="1" s="1"/>
  <c r="G66" i="1"/>
  <c r="J66" i="1" s="1"/>
  <c r="G58" i="1"/>
  <c r="J58" i="1" s="1"/>
  <c r="G48" i="1"/>
  <c r="J48" i="1" s="1"/>
  <c r="G63" i="1"/>
  <c r="J63" i="1" s="1"/>
  <c r="G47" i="1"/>
  <c r="J47" i="1" s="1"/>
  <c r="G54" i="1"/>
  <c r="J54" i="1" s="1"/>
  <c r="G53" i="1"/>
  <c r="J53" i="1" s="1"/>
  <c r="G45" i="1"/>
  <c r="J45" i="1" s="1"/>
  <c r="G39" i="1"/>
  <c r="J39" i="1" s="1"/>
  <c r="G46" i="1"/>
  <c r="J46" i="1" s="1"/>
  <c r="G55" i="1"/>
  <c r="J55" i="1" s="1"/>
  <c r="G51" i="1"/>
  <c r="J51" i="1" s="1"/>
  <c r="G50" i="1"/>
  <c r="J50" i="1" s="1"/>
  <c r="G41" i="1"/>
  <c r="J41" i="1" s="1"/>
  <c r="G37" i="1"/>
  <c r="J37" i="1" s="1"/>
  <c r="G43" i="1"/>
  <c r="J43" i="1" s="1"/>
  <c r="G35" i="1"/>
  <c r="J35" i="1" s="1"/>
  <c r="G38" i="1"/>
  <c r="J38" i="1" s="1"/>
  <c r="G42" i="1"/>
  <c r="J42" i="1" s="1"/>
  <c r="G34" i="1"/>
  <c r="J34" i="1" s="1"/>
  <c r="G40" i="1"/>
  <c r="J40" i="1" s="1"/>
  <c r="G30" i="1"/>
  <c r="J30" i="1" s="1"/>
  <c r="G22" i="1"/>
  <c r="J22" i="1" s="1"/>
  <c r="H114" i="1" s="1"/>
  <c r="G29" i="1"/>
  <c r="J29" i="1" s="1"/>
  <c r="G21" i="1"/>
  <c r="J21" i="1" s="1"/>
  <c r="G27" i="1"/>
  <c r="J27" i="1" s="1"/>
  <c r="G19" i="1"/>
  <c r="J19" i="1" s="1"/>
  <c r="G11" i="1"/>
  <c r="J11" i="1" s="1"/>
  <c r="H115" i="1" s="1"/>
  <c r="G26" i="1"/>
  <c r="J26" i="1" s="1"/>
  <c r="G18" i="1"/>
  <c r="J18" i="1" s="1"/>
  <c r="H119" i="1"/>
  <c r="G32" i="1"/>
  <c r="J32" i="1" s="1"/>
  <c r="G24" i="1"/>
  <c r="J24" i="1" s="1"/>
  <c r="G16" i="1"/>
  <c r="J16" i="1" s="1"/>
  <c r="G14" i="1"/>
  <c r="J14" i="1" s="1"/>
  <c r="G13" i="1"/>
  <c r="J13" i="1" s="1"/>
  <c r="G17" i="1"/>
  <c r="J17" i="1" s="1"/>
  <c r="D7" i="1"/>
  <c r="E6" i="1"/>
  <c r="H113" i="1" l="1"/>
  <c r="H112" i="1"/>
  <c r="H116" i="1"/>
  <c r="H111" i="1"/>
  <c r="H108" i="1"/>
  <c r="H117" i="1"/>
  <c r="H109" i="1"/>
  <c r="H118" i="1"/>
  <c r="H110" i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l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H121" i="1"/>
</calcChain>
</file>

<file path=xl/sharedStrings.xml><?xml version="1.0" encoding="utf-8"?>
<sst xmlns="http://schemas.openxmlformats.org/spreadsheetml/2006/main" count="139" uniqueCount="51">
  <si>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</si>
  <si>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</si>
  <si>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</si>
  <si>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</si>
  <si>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</si>
  <si>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</si>
  <si>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</si>
  <si>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</si>
  <si>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</si>
  <si>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</si>
  <si>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</si>
  <si>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</si>
  <si>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</si>
  <si>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SE 0,25</t>
  </si>
  <si>
    <t>SE 0,5</t>
  </si>
  <si>
    <t>SE 0,75</t>
  </si>
  <si>
    <t>PM12</t>
  </si>
  <si>
    <t>Xc</t>
  </si>
  <si>
    <t>X</t>
  </si>
  <si>
    <t xml:space="preserve">promedio meses= </t>
  </si>
  <si>
    <t>E=Ventas/PM12C</t>
  </si>
  <si>
    <t>PM12C</t>
  </si>
  <si>
    <t>Sin:</t>
  </si>
  <si>
    <t>Con:</t>
  </si>
  <si>
    <t>IE</t>
  </si>
  <si>
    <t>Yd=Ventas/IE</t>
  </si>
  <si>
    <t>para calcular IE</t>
  </si>
  <si>
    <t>MEDIANA ENERO</t>
  </si>
  <si>
    <t>MEDIANA FEBRERO</t>
  </si>
  <si>
    <t>MEDIANA MARZO</t>
  </si>
  <si>
    <t>MEDIANA ABRIL</t>
  </si>
  <si>
    <t>MEDIANA MAYO</t>
  </si>
  <si>
    <t>MEDIANA JUNIO</t>
  </si>
  <si>
    <t>MEDIANA JULIO</t>
  </si>
  <si>
    <t>MEDIANA AGOSTO</t>
  </si>
  <si>
    <t>MEDIANA SEPT</t>
  </si>
  <si>
    <t>MEDIANA OCT</t>
  </si>
  <si>
    <t>MEDIANA NOV</t>
  </si>
  <si>
    <t>MEDIANA DIC</t>
  </si>
  <si>
    <t>TOTAL</t>
  </si>
  <si>
    <t>Como el total es 12, que es el valor buscado,</t>
  </si>
  <si>
    <t>no hace falta calcular factor de correccion</t>
  </si>
  <si>
    <t>para predecir necesito el grafico:</t>
  </si>
  <si>
    <t>y= VENTAS(en millones)</t>
  </si>
  <si>
    <t>&lt;- En millones</t>
  </si>
  <si>
    <t>.</t>
  </si>
  <si>
    <t>CI=Yd/E</t>
  </si>
  <si>
    <t>PS1</t>
  </si>
  <si>
    <t>Marzo de 2011</t>
  </si>
  <si>
    <r>
      <rPr>
        <sz val="10"/>
        <color rgb="FFFF0000"/>
        <rFont val="Arial"/>
        <family val="2"/>
      </rPr>
      <t>d)</t>
    </r>
    <r>
      <rPr>
        <sz val="10"/>
        <rFont val="Arial"/>
        <family val="2"/>
      </rPr>
      <t xml:space="preserve"> Estimacion con y sin estacionalidad para Marzo 2011</t>
    </r>
  </si>
  <si>
    <t>y= 0,158*101+111,33=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</si>
</sst>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#,##0.00;[Red]\([$$-2C0A]#,##0.00\)"/>
  </numFmts>
  <fonts count="5">
    <font>
      <sz val="10"/>
      <name val="Arial"/>
      <family val="2"/>
    </font>
    <font>
      <u/>
      <sz val="10"/>
      <name val="FreeSans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5" xfId="0" applyBorder="1"/>
    <xf numFmtId="0" fontId="0" fillId="0" borderId="6" xfId="0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0" xfId="0" applyNumberFormat="1"/>
    <xf numFmtId="0" fontId="0" fillId="0" borderId="1" xfId="0" applyFill="1" applyBorder="1"/>
    <xf numFmtId="2" fontId="0" fillId="0" borderId="3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4" xfId="0" applyBorder="1"/>
    <xf numFmtId="2" fontId="0" fillId="0" borderId="6" xfId="0" applyNumberFormat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0" xfId="0" applyFill="1"/>
    <xf numFmtId="0" fontId="0" fillId="7" borderId="0" xfId="0" applyFill="1"/>
    <xf numFmtId="0" fontId="4" fillId="8" borderId="0" xfId="0" applyFont="1" applyFill="1"/>
    <xf numFmtId="0" fontId="0" fillId="8" borderId="2" xfId="0" applyFill="1" applyBorder="1"/>
    <xf numFmtId="0" fontId="4" fillId="2" borderId="0" xfId="0" applyFont="1" applyFill="1"/>
    <xf numFmtId="0" fontId="0" fillId="9" borderId="0" xfId="0" applyFill="1"/>
    <xf numFmtId="0" fontId="0" fillId="9" borderId="2" xfId="0" applyFill="1" applyBorder="1"/>
    <xf numFmtId="0" fontId="0" fillId="7" borderId="2" xfId="0" applyFill="1" applyBorder="1"/>
    <xf numFmtId="0" fontId="0" fillId="6" borderId="2" xfId="0" applyFill="1" applyBorder="1"/>
    <xf numFmtId="0" fontId="0" fillId="10" borderId="2" xfId="0" applyFill="1" applyBorder="1"/>
    <xf numFmtId="0" fontId="0" fillId="10" borderId="4" xfId="0" applyFill="1" applyBorder="1"/>
    <xf numFmtId="0" fontId="0" fillId="10" borderId="0" xfId="0" applyFill="1"/>
    <xf numFmtId="0" fontId="0" fillId="11" borderId="2" xfId="0" applyFill="1" applyBorder="1"/>
    <xf numFmtId="0" fontId="0" fillId="11" borderId="0" xfId="0" applyFill="1"/>
    <xf numFmtId="0" fontId="0" fillId="11" borderId="3" xfId="0" applyFill="1" applyBorder="1"/>
  </cellXfs>
  <cellStyles count="2">
    <cellStyle name="Normal" xfId="0" builtinId="0"/>
    <cellStyle name="Resultado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Grafico con suavizado</a:t>
            </a:r>
            <a:r>
              <a:rPr lang="es-AR" baseline="0"/>
              <a:t> exponencial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Hoja1!$B$4:$B$99</c:f>
              <c:numCache>
                <c:formatCode>General</c:formatCode>
                <c:ptCount val="96"/>
                <c:pt idx="0">
                  <c:v>91.1</c:v>
                </c:pt>
                <c:pt idx="1">
                  <c:v>95.2</c:v>
                </c:pt>
                <c:pt idx="2">
                  <c:v>103.5</c:v>
                </c:pt>
                <c:pt idx="3">
                  <c:v>97</c:v>
                </c:pt>
                <c:pt idx="4">
                  <c:v>102.1</c:v>
                </c:pt>
                <c:pt idx="5">
                  <c:v>105.5</c:v>
                </c:pt>
                <c:pt idx="6">
                  <c:v>102.7</c:v>
                </c:pt>
                <c:pt idx="7">
                  <c:v>64.2</c:v>
                </c:pt>
                <c:pt idx="8">
                  <c:v>104.9</c:v>
                </c:pt>
                <c:pt idx="9">
                  <c:v>104.4</c:v>
                </c:pt>
                <c:pt idx="10">
                  <c:v>109.2</c:v>
                </c:pt>
                <c:pt idx="11">
                  <c:v>99.9</c:v>
                </c:pt>
                <c:pt idx="12">
                  <c:v>104.2</c:v>
                </c:pt>
                <c:pt idx="13">
                  <c:v>101.5</c:v>
                </c:pt>
                <c:pt idx="14">
                  <c:v>113.9</c:v>
                </c:pt>
                <c:pt idx="15">
                  <c:v>97.4</c:v>
                </c:pt>
                <c:pt idx="16">
                  <c:v>112</c:v>
                </c:pt>
                <c:pt idx="17">
                  <c:v>112.7</c:v>
                </c:pt>
                <c:pt idx="18">
                  <c:v>106.2</c:v>
                </c:pt>
                <c:pt idx="19">
                  <c:v>67.400000000000006</c:v>
                </c:pt>
                <c:pt idx="20">
                  <c:v>105.6</c:v>
                </c:pt>
                <c:pt idx="21">
                  <c:v>108.1</c:v>
                </c:pt>
                <c:pt idx="22">
                  <c:v>110.4</c:v>
                </c:pt>
                <c:pt idx="23">
                  <c:v>95.2</c:v>
                </c:pt>
                <c:pt idx="24">
                  <c:v>102.7</c:v>
                </c:pt>
                <c:pt idx="25">
                  <c:v>102.4</c:v>
                </c:pt>
                <c:pt idx="26">
                  <c:v>106.4</c:v>
                </c:pt>
                <c:pt idx="27">
                  <c:v>98.3</c:v>
                </c:pt>
                <c:pt idx="28">
                  <c:v>108.4</c:v>
                </c:pt>
                <c:pt idx="29">
                  <c:v>106.2</c:v>
                </c:pt>
                <c:pt idx="30">
                  <c:v>110.4</c:v>
                </c:pt>
                <c:pt idx="31">
                  <c:v>66.400000000000006</c:v>
                </c:pt>
                <c:pt idx="32">
                  <c:v>104.8</c:v>
                </c:pt>
                <c:pt idx="33">
                  <c:v>114.8</c:v>
                </c:pt>
                <c:pt idx="34">
                  <c:v>108.5</c:v>
                </c:pt>
                <c:pt idx="35">
                  <c:v>96.8</c:v>
                </c:pt>
                <c:pt idx="36">
                  <c:v>105.7</c:v>
                </c:pt>
                <c:pt idx="37">
                  <c:v>102.1</c:v>
                </c:pt>
                <c:pt idx="38">
                  <c:v>106.3</c:v>
                </c:pt>
                <c:pt idx="39">
                  <c:v>115.8</c:v>
                </c:pt>
                <c:pt idx="40">
                  <c:v>111.6</c:v>
                </c:pt>
                <c:pt idx="41">
                  <c:v>114.3</c:v>
                </c:pt>
                <c:pt idx="42">
                  <c:v>119.5</c:v>
                </c:pt>
                <c:pt idx="43">
                  <c:v>71.7</c:v>
                </c:pt>
                <c:pt idx="44">
                  <c:v>115.8</c:v>
                </c:pt>
                <c:pt idx="45">
                  <c:v>125</c:v>
                </c:pt>
                <c:pt idx="46">
                  <c:v>115.5</c:v>
                </c:pt>
                <c:pt idx="47">
                  <c:v>106.9</c:v>
                </c:pt>
                <c:pt idx="48">
                  <c:v>110.5</c:v>
                </c:pt>
                <c:pt idx="49">
                  <c:v>114.2</c:v>
                </c:pt>
                <c:pt idx="50">
                  <c:v>121.3</c:v>
                </c:pt>
                <c:pt idx="51">
                  <c:v>112.4</c:v>
                </c:pt>
                <c:pt idx="52">
                  <c:v>117.8</c:v>
                </c:pt>
                <c:pt idx="53">
                  <c:v>123.8</c:v>
                </c:pt>
                <c:pt idx="54">
                  <c:v>126.5</c:v>
                </c:pt>
                <c:pt idx="55">
                  <c:v>76.5</c:v>
                </c:pt>
                <c:pt idx="56">
                  <c:v>120</c:v>
                </c:pt>
                <c:pt idx="57">
                  <c:v>123.7</c:v>
                </c:pt>
                <c:pt idx="58">
                  <c:v>122</c:v>
                </c:pt>
                <c:pt idx="59">
                  <c:v>112</c:v>
                </c:pt>
                <c:pt idx="60">
                  <c:v>112.9</c:v>
                </c:pt>
                <c:pt idx="61">
                  <c:v>113.9</c:v>
                </c:pt>
                <c:pt idx="62">
                  <c:v>123.7</c:v>
                </c:pt>
                <c:pt idx="63">
                  <c:v>114.9</c:v>
                </c:pt>
                <c:pt idx="64">
                  <c:v>121.5</c:v>
                </c:pt>
                <c:pt idx="65">
                  <c:v>126.1</c:v>
                </c:pt>
                <c:pt idx="66">
                  <c:v>128.30000000000001</c:v>
                </c:pt>
                <c:pt idx="67">
                  <c:v>81.099999999999994</c:v>
                </c:pt>
                <c:pt idx="68">
                  <c:v>125</c:v>
                </c:pt>
                <c:pt idx="69">
                  <c:v>123.4</c:v>
                </c:pt>
                <c:pt idx="70">
                  <c:v>128.4</c:v>
                </c:pt>
                <c:pt idx="71">
                  <c:v>118</c:v>
                </c:pt>
                <c:pt idx="72">
                  <c:v>118.5</c:v>
                </c:pt>
                <c:pt idx="73">
                  <c:v>125.2</c:v>
                </c:pt>
                <c:pt idx="74">
                  <c:v>136.30000000000001</c:v>
                </c:pt>
                <c:pt idx="75">
                  <c:v>114.8</c:v>
                </c:pt>
                <c:pt idx="76">
                  <c:v>133.1</c:v>
                </c:pt>
                <c:pt idx="77">
                  <c:v>132.69999999999999</c:v>
                </c:pt>
                <c:pt idx="78">
                  <c:v>128.5</c:v>
                </c:pt>
                <c:pt idx="79">
                  <c:v>86.9</c:v>
                </c:pt>
                <c:pt idx="80">
                  <c:v>125.1</c:v>
                </c:pt>
                <c:pt idx="81">
                  <c:v>126.8</c:v>
                </c:pt>
                <c:pt idx="82">
                  <c:v>133.30000000000001</c:v>
                </c:pt>
                <c:pt idx="83">
                  <c:v>112.3</c:v>
                </c:pt>
                <c:pt idx="84">
                  <c:v>124.2</c:v>
                </c:pt>
                <c:pt idx="85">
                  <c:v>120.9</c:v>
                </c:pt>
                <c:pt idx="86">
                  <c:v>131.4</c:v>
                </c:pt>
                <c:pt idx="87">
                  <c:v>114.4</c:v>
                </c:pt>
                <c:pt idx="88">
                  <c:v>131.9</c:v>
                </c:pt>
                <c:pt idx="89">
                  <c:v>129.4</c:v>
                </c:pt>
                <c:pt idx="90">
                  <c:v>128</c:v>
                </c:pt>
                <c:pt idx="91">
                  <c:v>89.7</c:v>
                </c:pt>
                <c:pt idx="92">
                  <c:v>121.5</c:v>
                </c:pt>
                <c:pt idx="93">
                  <c:v>130.6</c:v>
                </c:pt>
                <c:pt idx="94">
                  <c:v>127</c:v>
                </c:pt>
                <c:pt idx="95">
                  <c:v>107.4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A-4720-B052-70B6513C0CFE}"/>
            </c:ext>
          </c:extLst>
        </c:ser>
        <c:ser>
          <c:idx val="1"/>
          <c:order val="1"/>
          <c:tx>
            <c:v>SE 0,25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Hoja1!$C$4:$C$99</c:f>
              <c:numCache>
                <c:formatCode>0.00</c:formatCode>
                <c:ptCount val="96"/>
                <c:pt idx="0">
                  <c:v>91.1</c:v>
                </c:pt>
                <c:pt idx="1">
                  <c:v>92.124999999999986</c:v>
                </c:pt>
                <c:pt idx="2">
                  <c:v>94.968749999999986</c:v>
                </c:pt>
                <c:pt idx="3">
                  <c:v>95.476562499999986</c:v>
                </c:pt>
                <c:pt idx="4">
                  <c:v>97.132421874999977</c:v>
                </c:pt>
                <c:pt idx="5">
                  <c:v>99.224316406249983</c:v>
                </c:pt>
                <c:pt idx="6">
                  <c:v>100.09323730468749</c:v>
                </c:pt>
                <c:pt idx="7">
                  <c:v>91.119927978515619</c:v>
                </c:pt>
                <c:pt idx="8">
                  <c:v>94.564945983886702</c:v>
                </c:pt>
                <c:pt idx="9">
                  <c:v>97.023709487915028</c:v>
                </c:pt>
                <c:pt idx="10">
                  <c:v>100.06778211593627</c:v>
                </c:pt>
                <c:pt idx="11">
                  <c:v>100.02583658695221</c:v>
                </c:pt>
                <c:pt idx="12">
                  <c:v>101.06937744021415</c:v>
                </c:pt>
                <c:pt idx="13">
                  <c:v>101.17703308016061</c:v>
                </c:pt>
                <c:pt idx="14">
                  <c:v>104.35777481012045</c:v>
                </c:pt>
                <c:pt idx="15">
                  <c:v>102.61833110759034</c:v>
                </c:pt>
                <c:pt idx="16">
                  <c:v>104.96374833069275</c:v>
                </c:pt>
                <c:pt idx="17">
                  <c:v>106.89781124801956</c:v>
                </c:pt>
                <c:pt idx="18">
                  <c:v>106.72335843601466</c:v>
                </c:pt>
                <c:pt idx="19">
                  <c:v>96.892518827011003</c:v>
                </c:pt>
                <c:pt idx="20">
                  <c:v>99.069389120258251</c:v>
                </c:pt>
                <c:pt idx="21">
                  <c:v>101.32704184019369</c:v>
                </c:pt>
                <c:pt idx="22">
                  <c:v>103.59528138014525</c:v>
                </c:pt>
                <c:pt idx="23">
                  <c:v>101.49646103510894</c:v>
                </c:pt>
                <c:pt idx="24">
                  <c:v>101.7973457763317</c:v>
                </c:pt>
                <c:pt idx="25">
                  <c:v>101.94800933224877</c:v>
                </c:pt>
                <c:pt idx="26">
                  <c:v>103.06100699918659</c:v>
                </c:pt>
                <c:pt idx="27">
                  <c:v>101.87075524938994</c:v>
                </c:pt>
                <c:pt idx="28">
                  <c:v>103.50306643704246</c:v>
                </c:pt>
                <c:pt idx="29">
                  <c:v>104.17729982778185</c:v>
                </c:pt>
                <c:pt idx="30">
                  <c:v>105.73297487083639</c:v>
                </c:pt>
                <c:pt idx="31">
                  <c:v>95.899731153127277</c:v>
                </c:pt>
                <c:pt idx="32">
                  <c:v>98.124798364845461</c:v>
                </c:pt>
                <c:pt idx="33">
                  <c:v>102.2935987736341</c:v>
                </c:pt>
                <c:pt idx="34">
                  <c:v>103.84519908022557</c:v>
                </c:pt>
                <c:pt idx="35">
                  <c:v>102.08389931016917</c:v>
                </c:pt>
                <c:pt idx="36">
                  <c:v>102.98792448262688</c:v>
                </c:pt>
                <c:pt idx="37">
                  <c:v>102.76594336197016</c:v>
                </c:pt>
                <c:pt idx="38">
                  <c:v>103.64945752147763</c:v>
                </c:pt>
                <c:pt idx="39">
                  <c:v>106.68709314110822</c:v>
                </c:pt>
                <c:pt idx="40">
                  <c:v>107.91531985583117</c:v>
                </c:pt>
                <c:pt idx="41">
                  <c:v>109.51148989187338</c:v>
                </c:pt>
                <c:pt idx="42">
                  <c:v>112.00861741890503</c:v>
                </c:pt>
                <c:pt idx="43">
                  <c:v>101.93146306417877</c:v>
                </c:pt>
                <c:pt idx="44">
                  <c:v>105.39859729813408</c:v>
                </c:pt>
                <c:pt idx="45">
                  <c:v>110.29894797360056</c:v>
                </c:pt>
                <c:pt idx="46">
                  <c:v>111.59921098020043</c:v>
                </c:pt>
                <c:pt idx="47">
                  <c:v>110.42440823515031</c:v>
                </c:pt>
                <c:pt idx="48">
                  <c:v>110.44330617636274</c:v>
                </c:pt>
                <c:pt idx="49">
                  <c:v>111.38247963227205</c:v>
                </c:pt>
                <c:pt idx="50">
                  <c:v>113.86185972420404</c:v>
                </c:pt>
                <c:pt idx="51">
                  <c:v>113.49639479315303</c:v>
                </c:pt>
                <c:pt idx="52">
                  <c:v>114.57229609486477</c:v>
                </c:pt>
                <c:pt idx="53">
                  <c:v>116.87922207114858</c:v>
                </c:pt>
                <c:pt idx="54">
                  <c:v>119.28441655336144</c:v>
                </c:pt>
                <c:pt idx="55">
                  <c:v>108.58831241502108</c:v>
                </c:pt>
                <c:pt idx="56">
                  <c:v>111.44123431126582</c:v>
                </c:pt>
                <c:pt idx="57">
                  <c:v>114.50592573344936</c:v>
                </c:pt>
                <c:pt idx="58">
                  <c:v>116.37944430008702</c:v>
                </c:pt>
                <c:pt idx="59">
                  <c:v>115.28458322506526</c:v>
                </c:pt>
                <c:pt idx="60">
                  <c:v>114.68843741879894</c:v>
                </c:pt>
                <c:pt idx="61">
                  <c:v>114.49132806409921</c:v>
                </c:pt>
                <c:pt idx="62">
                  <c:v>116.7934960480744</c:v>
                </c:pt>
                <c:pt idx="63">
                  <c:v>116.32012203605581</c:v>
                </c:pt>
                <c:pt idx="64">
                  <c:v>117.61509152704186</c:v>
                </c:pt>
                <c:pt idx="65">
                  <c:v>119.73631864528139</c:v>
                </c:pt>
                <c:pt idx="66">
                  <c:v>121.87723898396105</c:v>
                </c:pt>
                <c:pt idx="67">
                  <c:v>111.6829292379708</c:v>
                </c:pt>
                <c:pt idx="68">
                  <c:v>115.01219692847809</c:v>
                </c:pt>
                <c:pt idx="69">
                  <c:v>117.10914769635858</c:v>
                </c:pt>
                <c:pt idx="70">
                  <c:v>119.93186077226892</c:v>
                </c:pt>
                <c:pt idx="71">
                  <c:v>119.44889557920169</c:v>
                </c:pt>
                <c:pt idx="72">
                  <c:v>119.21167168440127</c:v>
                </c:pt>
                <c:pt idx="73">
                  <c:v>120.70875376330095</c:v>
                </c:pt>
                <c:pt idx="74">
                  <c:v>124.60656532247572</c:v>
                </c:pt>
                <c:pt idx="75">
                  <c:v>122.15492399185679</c:v>
                </c:pt>
                <c:pt idx="76">
                  <c:v>124.89119299389259</c:v>
                </c:pt>
                <c:pt idx="77">
                  <c:v>126.84339474541945</c:v>
                </c:pt>
                <c:pt idx="78">
                  <c:v>127.25754605906458</c:v>
                </c:pt>
                <c:pt idx="79">
                  <c:v>117.16815954429845</c:v>
                </c:pt>
                <c:pt idx="80">
                  <c:v>119.15111965822385</c:v>
                </c:pt>
                <c:pt idx="81">
                  <c:v>121.0633397436679</c:v>
                </c:pt>
                <c:pt idx="82">
                  <c:v>124.12250480775093</c:v>
                </c:pt>
                <c:pt idx="83">
                  <c:v>121.1668786058132</c:v>
                </c:pt>
                <c:pt idx="84">
                  <c:v>121.9251589543599</c:v>
                </c:pt>
                <c:pt idx="85">
                  <c:v>121.66886921576992</c:v>
                </c:pt>
                <c:pt idx="86">
                  <c:v>124.10165191182745</c:v>
                </c:pt>
                <c:pt idx="87">
                  <c:v>121.67623893387059</c:v>
                </c:pt>
                <c:pt idx="88">
                  <c:v>124.23217920040295</c:v>
                </c:pt>
                <c:pt idx="89">
                  <c:v>125.52413440030222</c:v>
                </c:pt>
                <c:pt idx="90">
                  <c:v>126.14310080022666</c:v>
                </c:pt>
                <c:pt idx="91">
                  <c:v>117.03232560017</c:v>
                </c:pt>
                <c:pt idx="92">
                  <c:v>118.1492442001275</c:v>
                </c:pt>
                <c:pt idx="93">
                  <c:v>121.26193315009562</c:v>
                </c:pt>
                <c:pt idx="94">
                  <c:v>122.69644986257171</c:v>
                </c:pt>
                <c:pt idx="95">
                  <c:v>118.87233739692877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A-4720-B052-70B6513C0CFE}"/>
            </c:ext>
          </c:extLst>
        </c:ser>
        <c:ser>
          <c:idx val="2"/>
          <c:order val="2"/>
          <c:tx>
            <c:v>SE 0,5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Hoja1!$D$4:$D$99</c:f>
              <c:numCache>
                <c:formatCode>0.00</c:formatCode>
                <c:ptCount val="96"/>
                <c:pt idx="0">
                  <c:v>91.1</c:v>
                </c:pt>
                <c:pt idx="1">
                  <c:v>91.612499999999983</c:v>
                </c:pt>
                <c:pt idx="2">
                  <c:v>93.290624999999977</c:v>
                </c:pt>
                <c:pt idx="3">
                  <c:v>94.383593749999989</c:v>
                </c:pt>
                <c:pt idx="4">
                  <c:v>95.758007812499983</c:v>
                </c:pt>
                <c:pt idx="5">
                  <c:v>97.491162109374983</c:v>
                </c:pt>
                <c:pt idx="6">
                  <c:v>98.792199707031244</c:v>
                </c:pt>
                <c:pt idx="7">
                  <c:v>94.956063842773432</c:v>
                </c:pt>
                <c:pt idx="8">
                  <c:v>94.760504913330067</c:v>
                </c:pt>
                <c:pt idx="9">
                  <c:v>95.892107200622547</c:v>
                </c:pt>
                <c:pt idx="10">
                  <c:v>97.979944658279408</c:v>
                </c:pt>
                <c:pt idx="11">
                  <c:v>99.002890622615809</c:v>
                </c:pt>
                <c:pt idx="12">
                  <c:v>100.03613403141497</c:v>
                </c:pt>
                <c:pt idx="13">
                  <c:v>100.60658355578779</c:v>
                </c:pt>
                <c:pt idx="14">
                  <c:v>102.48217918295413</c:v>
                </c:pt>
                <c:pt idx="15">
                  <c:v>102.55025514527223</c:v>
                </c:pt>
                <c:pt idx="16">
                  <c:v>103.75700173798249</c:v>
                </c:pt>
                <c:pt idx="17">
                  <c:v>105.32740649300104</c:v>
                </c:pt>
                <c:pt idx="18">
                  <c:v>106.02538246450786</c:v>
                </c:pt>
                <c:pt idx="19">
                  <c:v>101.45895064575943</c:v>
                </c:pt>
                <c:pt idx="20">
                  <c:v>100.26416988300883</c:v>
                </c:pt>
                <c:pt idx="21">
                  <c:v>100.79560586160126</c:v>
                </c:pt>
                <c:pt idx="22">
                  <c:v>102.19544362087325</c:v>
                </c:pt>
                <c:pt idx="23">
                  <c:v>101.84595232799109</c:v>
                </c:pt>
                <c:pt idx="24">
                  <c:v>101.82164905216139</c:v>
                </c:pt>
                <c:pt idx="25">
                  <c:v>101.88482919220507</c:v>
                </c:pt>
                <c:pt idx="26">
                  <c:v>102.47291809569583</c:v>
                </c:pt>
                <c:pt idx="27">
                  <c:v>102.1718366725429</c:v>
                </c:pt>
                <c:pt idx="28">
                  <c:v>102.83745155479268</c:v>
                </c:pt>
                <c:pt idx="29">
                  <c:v>103.50737569128727</c:v>
                </c:pt>
                <c:pt idx="30">
                  <c:v>104.62017528106182</c:v>
                </c:pt>
                <c:pt idx="31">
                  <c:v>100.25995321709455</c:v>
                </c:pt>
                <c:pt idx="32">
                  <c:v>99.192375790970004</c:v>
                </c:pt>
                <c:pt idx="33">
                  <c:v>100.74298728230205</c:v>
                </c:pt>
                <c:pt idx="34">
                  <c:v>102.2940931812638</c:v>
                </c:pt>
                <c:pt idx="35">
                  <c:v>102.18899624571648</c:v>
                </c:pt>
                <c:pt idx="36">
                  <c:v>102.58846036417168</c:v>
                </c:pt>
                <c:pt idx="37">
                  <c:v>102.67720186307092</c:v>
                </c:pt>
                <c:pt idx="38">
                  <c:v>103.16332969227427</c:v>
                </c:pt>
                <c:pt idx="39">
                  <c:v>104.92521141669124</c:v>
                </c:pt>
                <c:pt idx="40">
                  <c:v>106.42026563626121</c:v>
                </c:pt>
                <c:pt idx="41">
                  <c:v>107.9658777640673</c:v>
                </c:pt>
                <c:pt idx="42">
                  <c:v>109.98724759148617</c:v>
                </c:pt>
                <c:pt idx="43">
                  <c:v>105.95935532783247</c:v>
                </c:pt>
                <c:pt idx="44">
                  <c:v>105.67897631298328</c:v>
                </c:pt>
                <c:pt idx="45">
                  <c:v>107.98896214329193</c:v>
                </c:pt>
                <c:pt idx="46">
                  <c:v>109.79408656174618</c:v>
                </c:pt>
                <c:pt idx="47">
                  <c:v>110.10924739844825</c:v>
                </c:pt>
                <c:pt idx="48">
                  <c:v>110.27627678740549</c:v>
                </c:pt>
                <c:pt idx="49">
                  <c:v>110.82937820983878</c:v>
                </c:pt>
                <c:pt idx="50">
                  <c:v>112.34561896702141</c:v>
                </c:pt>
                <c:pt idx="51">
                  <c:v>112.92100688008722</c:v>
                </c:pt>
                <c:pt idx="52">
                  <c:v>113.74665148747599</c:v>
                </c:pt>
                <c:pt idx="53">
                  <c:v>115.31293677931228</c:v>
                </c:pt>
                <c:pt idx="54">
                  <c:v>117.29867666633686</c:v>
                </c:pt>
                <c:pt idx="55">
                  <c:v>112.94349454067897</c:v>
                </c:pt>
                <c:pt idx="56">
                  <c:v>112.19236442597239</c:v>
                </c:pt>
                <c:pt idx="57">
                  <c:v>113.34914507971087</c:v>
                </c:pt>
                <c:pt idx="58">
                  <c:v>114.86429468989894</c:v>
                </c:pt>
                <c:pt idx="59">
                  <c:v>115.0744389574821</c:v>
                </c:pt>
                <c:pt idx="60">
                  <c:v>114.88143818814052</c:v>
                </c:pt>
                <c:pt idx="61">
                  <c:v>114.68638312611986</c:v>
                </c:pt>
                <c:pt idx="62">
                  <c:v>115.73993958709713</c:v>
                </c:pt>
                <c:pt idx="63">
                  <c:v>116.03003081157647</c:v>
                </c:pt>
                <c:pt idx="64">
                  <c:v>116.82256116930915</c:v>
                </c:pt>
                <c:pt idx="65">
                  <c:v>118.27943990729527</c:v>
                </c:pt>
                <c:pt idx="66">
                  <c:v>120.07833944562816</c:v>
                </c:pt>
                <c:pt idx="67">
                  <c:v>115.88063434179948</c:v>
                </c:pt>
                <c:pt idx="68">
                  <c:v>115.44641563513878</c:v>
                </c:pt>
                <c:pt idx="69">
                  <c:v>116.27778166574868</c:v>
                </c:pt>
                <c:pt idx="70">
                  <c:v>118.1048212190088</c:v>
                </c:pt>
                <c:pt idx="71">
                  <c:v>118.77685839910524</c:v>
                </c:pt>
                <c:pt idx="72">
                  <c:v>118.99426504175325</c:v>
                </c:pt>
                <c:pt idx="73">
                  <c:v>119.8515094025271</c:v>
                </c:pt>
                <c:pt idx="74">
                  <c:v>122.2290373625014</c:v>
                </c:pt>
                <c:pt idx="75">
                  <c:v>122.19198067717909</c:v>
                </c:pt>
                <c:pt idx="76">
                  <c:v>123.54158683553584</c:v>
                </c:pt>
                <c:pt idx="77">
                  <c:v>125.19249079047765</c:v>
                </c:pt>
                <c:pt idx="78">
                  <c:v>126.22501842477112</c:v>
                </c:pt>
                <c:pt idx="79">
                  <c:v>121.69658898453478</c:v>
                </c:pt>
                <c:pt idx="80">
                  <c:v>120.42385432137931</c:v>
                </c:pt>
                <c:pt idx="81">
                  <c:v>120.74359703252361</c:v>
                </c:pt>
                <c:pt idx="82">
                  <c:v>122.43305092013728</c:v>
                </c:pt>
                <c:pt idx="83">
                  <c:v>121.79996476297524</c:v>
                </c:pt>
                <c:pt idx="84">
                  <c:v>121.86256185866756</c:v>
                </c:pt>
                <c:pt idx="85">
                  <c:v>121.76571553721874</c:v>
                </c:pt>
                <c:pt idx="86">
                  <c:v>122.93368372452309</c:v>
                </c:pt>
                <c:pt idx="87">
                  <c:v>122.30496132919684</c:v>
                </c:pt>
                <c:pt idx="88">
                  <c:v>123.26857026479991</c:v>
                </c:pt>
                <c:pt idx="89">
                  <c:v>124.39635233255106</c:v>
                </c:pt>
                <c:pt idx="90">
                  <c:v>125.26972656638887</c:v>
                </c:pt>
                <c:pt idx="91">
                  <c:v>121.15102608327943</c:v>
                </c:pt>
                <c:pt idx="92">
                  <c:v>119.65013514170346</c:v>
                </c:pt>
                <c:pt idx="93">
                  <c:v>120.45603414589954</c:v>
                </c:pt>
                <c:pt idx="94">
                  <c:v>121.57624200423562</c:v>
                </c:pt>
                <c:pt idx="95">
                  <c:v>120.2242897005822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A-4720-B052-70B6513C0CFE}"/>
            </c:ext>
          </c:extLst>
        </c:ser>
        <c:ser>
          <c:idx val="3"/>
          <c:order val="3"/>
          <c:tx>
            <c:v>SE 0,75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Hoja1!$E$4:$E$99</c:f>
              <c:numCache>
                <c:formatCode>0.00</c:formatCode>
                <c:ptCount val="96"/>
                <c:pt idx="0">
                  <c:v>91.1</c:v>
                </c:pt>
                <c:pt idx="1">
                  <c:v>91.484375</c:v>
                </c:pt>
                <c:pt idx="2">
                  <c:v>92.839062499999983</c:v>
                </c:pt>
                <c:pt idx="3">
                  <c:v>93.997460937499994</c:v>
                </c:pt>
                <c:pt idx="4">
                  <c:v>95.31787109375</c:v>
                </c:pt>
                <c:pt idx="5">
                  <c:v>96.947839355468744</c:v>
                </c:pt>
                <c:pt idx="6">
                  <c:v>98.331109619140619</c:v>
                </c:pt>
                <c:pt idx="7">
                  <c:v>95.799825286865229</c:v>
                </c:pt>
                <c:pt idx="8">
                  <c:v>95.02033500671385</c:v>
                </c:pt>
                <c:pt idx="9">
                  <c:v>95.67416415214538</c:v>
                </c:pt>
                <c:pt idx="10">
                  <c:v>97.403499531745894</c:v>
                </c:pt>
                <c:pt idx="11">
                  <c:v>98.603042849898316</c:v>
                </c:pt>
                <c:pt idx="12">
                  <c:v>99.67786123603581</c:v>
                </c:pt>
                <c:pt idx="13">
                  <c:v>100.3744029758498</c:v>
                </c:pt>
                <c:pt idx="14">
                  <c:v>101.95523513117804</c:v>
                </c:pt>
                <c:pt idx="15">
                  <c:v>102.40150014174868</c:v>
                </c:pt>
                <c:pt idx="16">
                  <c:v>103.41812633892404</c:v>
                </c:pt>
                <c:pt idx="17">
                  <c:v>104.85008645448178</c:v>
                </c:pt>
                <c:pt idx="18">
                  <c:v>105.73155846200135</c:v>
                </c:pt>
                <c:pt idx="19">
                  <c:v>102.5271025998199</c:v>
                </c:pt>
                <c:pt idx="20">
                  <c:v>100.8299030622116</c:v>
                </c:pt>
                <c:pt idx="21">
                  <c:v>100.80418016175385</c:v>
                </c:pt>
                <c:pt idx="22">
                  <c:v>101.8476277560934</c:v>
                </c:pt>
                <c:pt idx="23">
                  <c:v>101.84637118501666</c:v>
                </c:pt>
                <c:pt idx="24">
                  <c:v>101.82782958537521</c:v>
                </c:pt>
                <c:pt idx="25">
                  <c:v>101.8705792904976</c:v>
                </c:pt>
                <c:pt idx="26">
                  <c:v>102.32233339439628</c:v>
                </c:pt>
                <c:pt idx="27">
                  <c:v>102.20946085300625</c:v>
                </c:pt>
                <c:pt idx="28">
                  <c:v>102.68045387934608</c:v>
                </c:pt>
                <c:pt idx="29">
                  <c:v>103.30064523830197</c:v>
                </c:pt>
                <c:pt idx="30">
                  <c:v>104.29029277037185</c:v>
                </c:pt>
                <c:pt idx="31">
                  <c:v>101.26753810541388</c:v>
                </c:pt>
                <c:pt idx="32">
                  <c:v>99.71116636958098</c:v>
                </c:pt>
                <c:pt idx="33">
                  <c:v>100.48503205412177</c:v>
                </c:pt>
                <c:pt idx="34">
                  <c:v>101.84182789947829</c:v>
                </c:pt>
                <c:pt idx="35">
                  <c:v>102.10220415915694</c:v>
                </c:pt>
                <c:pt idx="36">
                  <c:v>102.466896312918</c:v>
                </c:pt>
                <c:pt idx="37">
                  <c:v>102.62462547553268</c:v>
                </c:pt>
                <c:pt idx="38">
                  <c:v>103.02865363808888</c:v>
                </c:pt>
                <c:pt idx="39">
                  <c:v>104.45107197204065</c:v>
                </c:pt>
                <c:pt idx="40">
                  <c:v>105.92796722020607</c:v>
                </c:pt>
                <c:pt idx="41">
                  <c:v>107.456400128102</c:v>
                </c:pt>
                <c:pt idx="42">
                  <c:v>109.35453572564013</c:v>
                </c:pt>
                <c:pt idx="43">
                  <c:v>106.80815042728439</c:v>
                </c:pt>
                <c:pt idx="44">
                  <c:v>105.96126984155855</c:v>
                </c:pt>
                <c:pt idx="45">
                  <c:v>107.48203906785858</c:v>
                </c:pt>
                <c:pt idx="46">
                  <c:v>109.21607468827428</c:v>
                </c:pt>
                <c:pt idx="47">
                  <c:v>109.88595422090475</c:v>
                </c:pt>
                <c:pt idx="48">
                  <c:v>110.17869614578031</c:v>
                </c:pt>
                <c:pt idx="49">
                  <c:v>110.66670769382416</c:v>
                </c:pt>
                <c:pt idx="50">
                  <c:v>111.92589114872209</c:v>
                </c:pt>
                <c:pt idx="51">
                  <c:v>112.67222794724593</c:v>
                </c:pt>
                <c:pt idx="52">
                  <c:v>113.47804560241846</c:v>
                </c:pt>
                <c:pt idx="53">
                  <c:v>114.85421398508882</c:v>
                </c:pt>
                <c:pt idx="54">
                  <c:v>116.68756099602484</c:v>
                </c:pt>
                <c:pt idx="55">
                  <c:v>113.87951115451544</c:v>
                </c:pt>
                <c:pt idx="56">
                  <c:v>112.61415110810815</c:v>
                </c:pt>
                <c:pt idx="57">
                  <c:v>113.16539658681019</c:v>
                </c:pt>
                <c:pt idx="58">
                  <c:v>114.43957016412675</c:v>
                </c:pt>
                <c:pt idx="59">
                  <c:v>114.91572175914325</c:v>
                </c:pt>
                <c:pt idx="60">
                  <c:v>114.8900090808912</c:v>
                </c:pt>
                <c:pt idx="61">
                  <c:v>114.73728961481271</c:v>
                </c:pt>
                <c:pt idx="62">
                  <c:v>115.48927709402602</c:v>
                </c:pt>
                <c:pt idx="63">
                  <c:v>115.89484238218886</c:v>
                </c:pt>
                <c:pt idx="64">
                  <c:v>116.59063147252908</c:v>
                </c:pt>
                <c:pt idx="65">
                  <c:v>117.85723779860372</c:v>
                </c:pt>
                <c:pt idx="66">
                  <c:v>119.52306403387205</c:v>
                </c:pt>
                <c:pt idx="67">
                  <c:v>116.79124176481763</c:v>
                </c:pt>
                <c:pt idx="68">
                  <c:v>115.78262216755849</c:v>
                </c:pt>
                <c:pt idx="69">
                  <c:v>116.15399179120114</c:v>
                </c:pt>
                <c:pt idx="70">
                  <c:v>117.61711386205688</c:v>
                </c:pt>
                <c:pt idx="71">
                  <c:v>118.48692226484316</c:v>
                </c:pt>
                <c:pt idx="72">
                  <c:v>118.86742934752573</c:v>
                </c:pt>
                <c:pt idx="73">
                  <c:v>119.60548938877676</c:v>
                </c:pt>
                <c:pt idx="74">
                  <c:v>121.57315036907025</c:v>
                </c:pt>
                <c:pt idx="75">
                  <c:v>122.03727310015188</c:v>
                </c:pt>
                <c:pt idx="76">
                  <c:v>123.16550840168985</c:v>
                </c:pt>
                <c:pt idx="77">
                  <c:v>124.6857451932807</c:v>
                </c:pt>
                <c:pt idx="78">
                  <c:v>125.84020011689852</c:v>
                </c:pt>
                <c:pt idx="79">
                  <c:v>122.73249176762572</c:v>
                </c:pt>
                <c:pt idx="80">
                  <c:v>121.00101368294092</c:v>
                </c:pt>
                <c:pt idx="81">
                  <c:v>120.80795119512794</c:v>
                </c:pt>
                <c:pt idx="82">
                  <c:v>122.02677598888495</c:v>
                </c:pt>
                <c:pt idx="83">
                  <c:v>121.85666756945265</c:v>
                </c:pt>
                <c:pt idx="84">
                  <c:v>121.86108828636384</c:v>
                </c:pt>
                <c:pt idx="85">
                  <c:v>121.78955872450501</c:v>
                </c:pt>
                <c:pt idx="86">
                  <c:v>122.64765247451857</c:v>
                </c:pt>
                <c:pt idx="87">
                  <c:v>122.39063411552728</c:v>
                </c:pt>
                <c:pt idx="88">
                  <c:v>123.04908622748175</c:v>
                </c:pt>
                <c:pt idx="89">
                  <c:v>124.05953580628375</c:v>
                </c:pt>
                <c:pt idx="90">
                  <c:v>124.9671788763626</c:v>
                </c:pt>
                <c:pt idx="91">
                  <c:v>122.10506428155023</c:v>
                </c:pt>
                <c:pt idx="92">
                  <c:v>120.26386742666514</c:v>
                </c:pt>
                <c:pt idx="93">
                  <c:v>120.40799246609095</c:v>
                </c:pt>
                <c:pt idx="94">
                  <c:v>121.28417961969946</c:v>
                </c:pt>
                <c:pt idx="95">
                  <c:v>120.48926218036152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A-4720-B052-70B6513C0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172031"/>
        <c:axId val="751172511"/>
      </c:lineChart>
      <c:catAx>
        <c:axId val="751172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1172511"/>
        <c:crosses val="autoZero"/>
        <c:auto val="1"/>
        <c:lblAlgn val="ctr"/>
        <c:lblOffset val="100"/>
        <c:noMultiLvlLbl val="0"/>
      </c:catAx>
      <c:valAx>
        <c:axId val="7511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117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Serie Xc-Y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Hoja1!$I$4:$I$99</c:f>
              <c:numCache>
                <c:formatCode>General</c:formatCode>
                <c:ptCount val="96"/>
                <c:pt idx="0">
                  <c:v>-95</c:v>
                </c:pt>
                <c:pt idx="1">
                  <c:v>-93</c:v>
                </c:pt>
                <c:pt idx="2">
                  <c:v>-91</c:v>
                </c:pt>
                <c:pt idx="3">
                  <c:v>-89</c:v>
                </c:pt>
                <c:pt idx="4">
                  <c:v>-87</c:v>
                </c:pt>
                <c:pt idx="5">
                  <c:v>-85</c:v>
                </c:pt>
                <c:pt idx="6">
                  <c:v>-83</c:v>
                </c:pt>
                <c:pt idx="7">
                  <c:v>-81</c:v>
                </c:pt>
                <c:pt idx="8">
                  <c:v>-79</c:v>
                </c:pt>
                <c:pt idx="9">
                  <c:v>-77</c:v>
                </c:pt>
                <c:pt idx="10">
                  <c:v>-75</c:v>
                </c:pt>
                <c:pt idx="11">
                  <c:v>-73</c:v>
                </c:pt>
                <c:pt idx="12">
                  <c:v>-71</c:v>
                </c:pt>
                <c:pt idx="13">
                  <c:v>-69</c:v>
                </c:pt>
                <c:pt idx="14">
                  <c:v>-67</c:v>
                </c:pt>
                <c:pt idx="15">
                  <c:v>-65</c:v>
                </c:pt>
                <c:pt idx="16">
                  <c:v>-63</c:v>
                </c:pt>
                <c:pt idx="17">
                  <c:v>-61</c:v>
                </c:pt>
                <c:pt idx="18">
                  <c:v>-59</c:v>
                </c:pt>
                <c:pt idx="19">
                  <c:v>-57</c:v>
                </c:pt>
                <c:pt idx="20">
                  <c:v>-55</c:v>
                </c:pt>
                <c:pt idx="21">
                  <c:v>-53</c:v>
                </c:pt>
                <c:pt idx="22">
                  <c:v>-51</c:v>
                </c:pt>
                <c:pt idx="23">
                  <c:v>-49</c:v>
                </c:pt>
                <c:pt idx="24">
                  <c:v>-47</c:v>
                </c:pt>
                <c:pt idx="25">
                  <c:v>-45</c:v>
                </c:pt>
                <c:pt idx="26">
                  <c:v>-43</c:v>
                </c:pt>
                <c:pt idx="27">
                  <c:v>-41</c:v>
                </c:pt>
                <c:pt idx="28">
                  <c:v>-39</c:v>
                </c:pt>
                <c:pt idx="29">
                  <c:v>-37</c:v>
                </c:pt>
                <c:pt idx="30">
                  <c:v>-35</c:v>
                </c:pt>
                <c:pt idx="31">
                  <c:v>-33</c:v>
                </c:pt>
                <c:pt idx="32">
                  <c:v>-31</c:v>
                </c:pt>
                <c:pt idx="33">
                  <c:v>-29</c:v>
                </c:pt>
                <c:pt idx="34">
                  <c:v>-27</c:v>
                </c:pt>
                <c:pt idx="35">
                  <c:v>-25</c:v>
                </c:pt>
                <c:pt idx="36">
                  <c:v>-23</c:v>
                </c:pt>
                <c:pt idx="37">
                  <c:v>-21</c:v>
                </c:pt>
                <c:pt idx="38">
                  <c:v>-19</c:v>
                </c:pt>
                <c:pt idx="39">
                  <c:v>-17</c:v>
                </c:pt>
                <c:pt idx="40">
                  <c:v>-15</c:v>
                </c:pt>
                <c:pt idx="41">
                  <c:v>-13</c:v>
                </c:pt>
                <c:pt idx="42">
                  <c:v>-11</c:v>
                </c:pt>
                <c:pt idx="43">
                  <c:v>-9</c:v>
                </c:pt>
                <c:pt idx="44">
                  <c:v>-7</c:v>
                </c:pt>
                <c:pt idx="45">
                  <c:v>-5</c:v>
                </c:pt>
                <c:pt idx="46">
                  <c:v>-3</c:v>
                </c:pt>
                <c:pt idx="47">
                  <c:v>-1</c:v>
                </c:pt>
                <c:pt idx="48">
                  <c:v>1</c:v>
                </c:pt>
                <c:pt idx="49">
                  <c:v>3</c:v>
                </c:pt>
                <c:pt idx="50">
                  <c:v>5</c:v>
                </c:pt>
                <c:pt idx="51">
                  <c:v>7</c:v>
                </c:pt>
                <c:pt idx="52">
                  <c:v>9</c:v>
                </c:pt>
                <c:pt idx="53">
                  <c:v>11</c:v>
                </c:pt>
                <c:pt idx="54">
                  <c:v>13</c:v>
                </c:pt>
                <c:pt idx="55">
                  <c:v>15</c:v>
                </c:pt>
                <c:pt idx="56">
                  <c:v>17</c:v>
                </c:pt>
                <c:pt idx="57">
                  <c:v>19</c:v>
                </c:pt>
                <c:pt idx="58">
                  <c:v>21</c:v>
                </c:pt>
                <c:pt idx="59">
                  <c:v>23</c:v>
                </c:pt>
                <c:pt idx="60">
                  <c:v>25</c:v>
                </c:pt>
                <c:pt idx="61">
                  <c:v>27</c:v>
                </c:pt>
                <c:pt idx="62">
                  <c:v>29</c:v>
                </c:pt>
                <c:pt idx="63">
                  <c:v>31</c:v>
                </c:pt>
                <c:pt idx="64">
                  <c:v>33</c:v>
                </c:pt>
                <c:pt idx="65">
                  <c:v>35</c:v>
                </c:pt>
                <c:pt idx="66">
                  <c:v>37</c:v>
                </c:pt>
                <c:pt idx="67">
                  <c:v>39</c:v>
                </c:pt>
                <c:pt idx="68">
                  <c:v>41</c:v>
                </c:pt>
                <c:pt idx="69">
                  <c:v>43</c:v>
                </c:pt>
                <c:pt idx="70">
                  <c:v>45</c:v>
                </c:pt>
                <c:pt idx="71">
                  <c:v>47</c:v>
                </c:pt>
                <c:pt idx="72">
                  <c:v>49</c:v>
                </c:pt>
                <c:pt idx="73">
                  <c:v>51</c:v>
                </c:pt>
                <c:pt idx="74">
                  <c:v>53</c:v>
                </c:pt>
                <c:pt idx="75">
                  <c:v>55</c:v>
                </c:pt>
                <c:pt idx="76">
                  <c:v>57</c:v>
                </c:pt>
                <c:pt idx="77">
                  <c:v>59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67</c:v>
                </c:pt>
                <c:pt idx="82">
                  <c:v>69</c:v>
                </c:pt>
                <c:pt idx="83">
                  <c:v>71</c:v>
                </c:pt>
                <c:pt idx="84">
                  <c:v>73</c:v>
                </c:pt>
                <c:pt idx="85">
                  <c:v>75</c:v>
                </c:pt>
                <c:pt idx="86">
                  <c:v>77</c:v>
                </c:pt>
                <c:pt idx="87">
                  <c:v>79</c:v>
                </c:pt>
                <c:pt idx="88">
                  <c:v>81</c:v>
                </c:pt>
                <c:pt idx="89">
                  <c:v>83</c:v>
                </c:pt>
                <c:pt idx="90">
                  <c:v>85</c:v>
                </c:pt>
                <c:pt idx="91">
                  <c:v>87</c:v>
                </c:pt>
                <c:pt idx="92">
                  <c:v>89</c:v>
                </c:pt>
                <c:pt idx="93">
                  <c:v>91</c:v>
                </c:pt>
                <c:pt idx="94">
                  <c:v>93</c:v>
                </c:pt>
                <c:pt idx="95">
                  <c:v>95</c:v>
                </c:pt>
              </c:numCache>
            </c:numRef>
          </c:xVal>
          <c:yVal>
            <c:numRef>
              <c:f>Hoja1!$B$4:$B$99</c:f>
              <c:numCache>
                <c:formatCode>General</c:formatCode>
                <c:ptCount val="96"/>
                <c:pt idx="0">
                  <c:v>91.1</c:v>
                </c:pt>
                <c:pt idx="1">
                  <c:v>95.2</c:v>
                </c:pt>
                <c:pt idx="2">
                  <c:v>103.5</c:v>
                </c:pt>
                <c:pt idx="3">
                  <c:v>97</c:v>
                </c:pt>
                <c:pt idx="4">
                  <c:v>102.1</c:v>
                </c:pt>
                <c:pt idx="5">
                  <c:v>105.5</c:v>
                </c:pt>
                <c:pt idx="6">
                  <c:v>102.7</c:v>
                </c:pt>
                <c:pt idx="7">
                  <c:v>64.2</c:v>
                </c:pt>
                <c:pt idx="8">
                  <c:v>104.9</c:v>
                </c:pt>
                <c:pt idx="9">
                  <c:v>104.4</c:v>
                </c:pt>
                <c:pt idx="10">
                  <c:v>109.2</c:v>
                </c:pt>
                <c:pt idx="11">
                  <c:v>99.9</c:v>
                </c:pt>
                <c:pt idx="12">
                  <c:v>104.2</c:v>
                </c:pt>
                <c:pt idx="13">
                  <c:v>101.5</c:v>
                </c:pt>
                <c:pt idx="14">
                  <c:v>113.9</c:v>
                </c:pt>
                <c:pt idx="15">
                  <c:v>97.4</c:v>
                </c:pt>
                <c:pt idx="16">
                  <c:v>112</c:v>
                </c:pt>
                <c:pt idx="17">
                  <c:v>112.7</c:v>
                </c:pt>
                <c:pt idx="18">
                  <c:v>106.2</c:v>
                </c:pt>
                <c:pt idx="19">
                  <c:v>67.400000000000006</c:v>
                </c:pt>
                <c:pt idx="20">
                  <c:v>105.6</c:v>
                </c:pt>
                <c:pt idx="21">
                  <c:v>108.1</c:v>
                </c:pt>
                <c:pt idx="22">
                  <c:v>110.4</c:v>
                </c:pt>
                <c:pt idx="23">
                  <c:v>95.2</c:v>
                </c:pt>
                <c:pt idx="24">
                  <c:v>102.7</c:v>
                </c:pt>
                <c:pt idx="25">
                  <c:v>102.4</c:v>
                </c:pt>
                <c:pt idx="26">
                  <c:v>106.4</c:v>
                </c:pt>
                <c:pt idx="27">
                  <c:v>98.3</c:v>
                </c:pt>
                <c:pt idx="28">
                  <c:v>108.4</c:v>
                </c:pt>
                <c:pt idx="29">
                  <c:v>106.2</c:v>
                </c:pt>
                <c:pt idx="30">
                  <c:v>110.4</c:v>
                </c:pt>
                <c:pt idx="31">
                  <c:v>66.400000000000006</c:v>
                </c:pt>
                <c:pt idx="32">
                  <c:v>104.8</c:v>
                </c:pt>
                <c:pt idx="33">
                  <c:v>114.8</c:v>
                </c:pt>
                <c:pt idx="34">
                  <c:v>108.5</c:v>
                </c:pt>
                <c:pt idx="35">
                  <c:v>96.8</c:v>
                </c:pt>
                <c:pt idx="36">
                  <c:v>105.7</c:v>
                </c:pt>
                <c:pt idx="37">
                  <c:v>102.1</c:v>
                </c:pt>
                <c:pt idx="38">
                  <c:v>106.3</c:v>
                </c:pt>
                <c:pt idx="39">
                  <c:v>115.8</c:v>
                </c:pt>
                <c:pt idx="40">
                  <c:v>111.6</c:v>
                </c:pt>
                <c:pt idx="41">
                  <c:v>114.3</c:v>
                </c:pt>
                <c:pt idx="42">
                  <c:v>119.5</c:v>
                </c:pt>
                <c:pt idx="43">
                  <c:v>71.7</c:v>
                </c:pt>
                <c:pt idx="44">
                  <c:v>115.8</c:v>
                </c:pt>
                <c:pt idx="45">
                  <c:v>125</c:v>
                </c:pt>
                <c:pt idx="46">
                  <c:v>115.5</c:v>
                </c:pt>
                <c:pt idx="47">
                  <c:v>106.9</c:v>
                </c:pt>
                <c:pt idx="48">
                  <c:v>110.5</c:v>
                </c:pt>
                <c:pt idx="49">
                  <c:v>114.2</c:v>
                </c:pt>
                <c:pt idx="50">
                  <c:v>121.3</c:v>
                </c:pt>
                <c:pt idx="51">
                  <c:v>112.4</c:v>
                </c:pt>
                <c:pt idx="52">
                  <c:v>117.8</c:v>
                </c:pt>
                <c:pt idx="53">
                  <c:v>123.8</c:v>
                </c:pt>
                <c:pt idx="54">
                  <c:v>126.5</c:v>
                </c:pt>
                <c:pt idx="55">
                  <c:v>76.5</c:v>
                </c:pt>
                <c:pt idx="56">
                  <c:v>120</c:v>
                </c:pt>
                <c:pt idx="57">
                  <c:v>123.7</c:v>
                </c:pt>
                <c:pt idx="58">
                  <c:v>122</c:v>
                </c:pt>
                <c:pt idx="59">
                  <c:v>112</c:v>
                </c:pt>
                <c:pt idx="60">
                  <c:v>112.9</c:v>
                </c:pt>
                <c:pt idx="61">
                  <c:v>113.9</c:v>
                </c:pt>
                <c:pt idx="62">
                  <c:v>123.7</c:v>
                </c:pt>
                <c:pt idx="63">
                  <c:v>114.9</c:v>
                </c:pt>
                <c:pt idx="64">
                  <c:v>121.5</c:v>
                </c:pt>
                <c:pt idx="65">
                  <c:v>126.1</c:v>
                </c:pt>
                <c:pt idx="66">
                  <c:v>128.30000000000001</c:v>
                </c:pt>
                <c:pt idx="67">
                  <c:v>81.099999999999994</c:v>
                </c:pt>
                <c:pt idx="68">
                  <c:v>125</c:v>
                </c:pt>
                <c:pt idx="69">
                  <c:v>123.4</c:v>
                </c:pt>
                <c:pt idx="70">
                  <c:v>128.4</c:v>
                </c:pt>
                <c:pt idx="71">
                  <c:v>118</c:v>
                </c:pt>
                <c:pt idx="72">
                  <c:v>118.5</c:v>
                </c:pt>
                <c:pt idx="73">
                  <c:v>125.2</c:v>
                </c:pt>
                <c:pt idx="74">
                  <c:v>136.30000000000001</c:v>
                </c:pt>
                <c:pt idx="75">
                  <c:v>114.8</c:v>
                </c:pt>
                <c:pt idx="76">
                  <c:v>133.1</c:v>
                </c:pt>
                <c:pt idx="77">
                  <c:v>132.69999999999999</c:v>
                </c:pt>
                <c:pt idx="78">
                  <c:v>128.5</c:v>
                </c:pt>
                <c:pt idx="79">
                  <c:v>86.9</c:v>
                </c:pt>
                <c:pt idx="80">
                  <c:v>125.1</c:v>
                </c:pt>
                <c:pt idx="81">
                  <c:v>126.8</c:v>
                </c:pt>
                <c:pt idx="82">
                  <c:v>133.30000000000001</c:v>
                </c:pt>
                <c:pt idx="83">
                  <c:v>112.3</c:v>
                </c:pt>
                <c:pt idx="84">
                  <c:v>124.2</c:v>
                </c:pt>
                <c:pt idx="85">
                  <c:v>120.9</c:v>
                </c:pt>
                <c:pt idx="86">
                  <c:v>131.4</c:v>
                </c:pt>
                <c:pt idx="87">
                  <c:v>114.4</c:v>
                </c:pt>
                <c:pt idx="88">
                  <c:v>131.9</c:v>
                </c:pt>
                <c:pt idx="89">
                  <c:v>129.4</c:v>
                </c:pt>
                <c:pt idx="90">
                  <c:v>128</c:v>
                </c:pt>
                <c:pt idx="91">
                  <c:v>89.7</c:v>
                </c:pt>
                <c:pt idx="92">
                  <c:v>121.5</c:v>
                </c:pt>
                <c:pt idx="93">
                  <c:v>130.6</c:v>
                </c:pt>
                <c:pt idx="94">
                  <c:v>127</c:v>
                </c:pt>
                <c:pt idx="95">
                  <c:v>107.4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75-4157-BDD4-4D07DC58A4B0}"/>
            </c:ext>
          </c:extLst>
        </c:ser>
        <c:ser>
          <c:idx val="1"/>
          <c:order val="1"/>
          <c:tx>
            <c:v>Serie Xc-Yd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780839895013128E-2"/>
                  <c:y val="0.431524496937882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Hoja1!$I$4:$I$99</c:f>
              <c:numCache>
                <c:formatCode>General</c:formatCode>
                <c:ptCount val="96"/>
                <c:pt idx="0">
                  <c:v>-95</c:v>
                </c:pt>
                <c:pt idx="1">
                  <c:v>-93</c:v>
                </c:pt>
                <c:pt idx="2">
                  <c:v>-91</c:v>
                </c:pt>
                <c:pt idx="3">
                  <c:v>-89</c:v>
                </c:pt>
                <c:pt idx="4">
                  <c:v>-87</c:v>
                </c:pt>
                <c:pt idx="5">
                  <c:v>-85</c:v>
                </c:pt>
                <c:pt idx="6">
                  <c:v>-83</c:v>
                </c:pt>
                <c:pt idx="7">
                  <c:v>-81</c:v>
                </c:pt>
                <c:pt idx="8">
                  <c:v>-79</c:v>
                </c:pt>
                <c:pt idx="9">
                  <c:v>-77</c:v>
                </c:pt>
                <c:pt idx="10">
                  <c:v>-75</c:v>
                </c:pt>
                <c:pt idx="11">
                  <c:v>-73</c:v>
                </c:pt>
                <c:pt idx="12">
                  <c:v>-71</c:v>
                </c:pt>
                <c:pt idx="13">
                  <c:v>-69</c:v>
                </c:pt>
                <c:pt idx="14">
                  <c:v>-67</c:v>
                </c:pt>
                <c:pt idx="15">
                  <c:v>-65</c:v>
                </c:pt>
                <c:pt idx="16">
                  <c:v>-63</c:v>
                </c:pt>
                <c:pt idx="17">
                  <c:v>-61</c:v>
                </c:pt>
                <c:pt idx="18">
                  <c:v>-59</c:v>
                </c:pt>
                <c:pt idx="19">
                  <c:v>-57</c:v>
                </c:pt>
                <c:pt idx="20">
                  <c:v>-55</c:v>
                </c:pt>
                <c:pt idx="21">
                  <c:v>-53</c:v>
                </c:pt>
                <c:pt idx="22">
                  <c:v>-51</c:v>
                </c:pt>
                <c:pt idx="23">
                  <c:v>-49</c:v>
                </c:pt>
                <c:pt idx="24">
                  <c:v>-47</c:v>
                </c:pt>
                <c:pt idx="25">
                  <c:v>-45</c:v>
                </c:pt>
                <c:pt idx="26">
                  <c:v>-43</c:v>
                </c:pt>
                <c:pt idx="27">
                  <c:v>-41</c:v>
                </c:pt>
                <c:pt idx="28">
                  <c:v>-39</c:v>
                </c:pt>
                <c:pt idx="29">
                  <c:v>-37</c:v>
                </c:pt>
                <c:pt idx="30">
                  <c:v>-35</c:v>
                </c:pt>
                <c:pt idx="31">
                  <c:v>-33</c:v>
                </c:pt>
                <c:pt idx="32">
                  <c:v>-31</c:v>
                </c:pt>
                <c:pt idx="33">
                  <c:v>-29</c:v>
                </c:pt>
                <c:pt idx="34">
                  <c:v>-27</c:v>
                </c:pt>
                <c:pt idx="35">
                  <c:v>-25</c:v>
                </c:pt>
                <c:pt idx="36">
                  <c:v>-23</c:v>
                </c:pt>
                <c:pt idx="37">
                  <c:v>-21</c:v>
                </c:pt>
                <c:pt idx="38">
                  <c:v>-19</c:v>
                </c:pt>
                <c:pt idx="39">
                  <c:v>-17</c:v>
                </c:pt>
                <c:pt idx="40">
                  <c:v>-15</c:v>
                </c:pt>
                <c:pt idx="41">
                  <c:v>-13</c:v>
                </c:pt>
                <c:pt idx="42">
                  <c:v>-11</c:v>
                </c:pt>
                <c:pt idx="43">
                  <c:v>-9</c:v>
                </c:pt>
                <c:pt idx="44">
                  <c:v>-7</c:v>
                </c:pt>
                <c:pt idx="45">
                  <c:v>-5</c:v>
                </c:pt>
                <c:pt idx="46">
                  <c:v>-3</c:v>
                </c:pt>
                <c:pt idx="47">
                  <c:v>-1</c:v>
                </c:pt>
                <c:pt idx="48">
                  <c:v>1</c:v>
                </c:pt>
                <c:pt idx="49">
                  <c:v>3</c:v>
                </c:pt>
                <c:pt idx="50">
                  <c:v>5</c:v>
                </c:pt>
                <c:pt idx="51">
                  <c:v>7</c:v>
                </c:pt>
                <c:pt idx="52">
                  <c:v>9</c:v>
                </c:pt>
                <c:pt idx="53">
                  <c:v>11</c:v>
                </c:pt>
                <c:pt idx="54">
                  <c:v>13</c:v>
                </c:pt>
                <c:pt idx="55">
                  <c:v>15</c:v>
                </c:pt>
                <c:pt idx="56">
                  <c:v>17</c:v>
                </c:pt>
                <c:pt idx="57">
                  <c:v>19</c:v>
                </c:pt>
                <c:pt idx="58">
                  <c:v>21</c:v>
                </c:pt>
                <c:pt idx="59">
                  <c:v>23</c:v>
                </c:pt>
                <c:pt idx="60">
                  <c:v>25</c:v>
                </c:pt>
                <c:pt idx="61">
                  <c:v>27</c:v>
                </c:pt>
                <c:pt idx="62">
                  <c:v>29</c:v>
                </c:pt>
                <c:pt idx="63">
                  <c:v>31</c:v>
                </c:pt>
                <c:pt idx="64">
                  <c:v>33</c:v>
                </c:pt>
                <c:pt idx="65">
                  <c:v>35</c:v>
                </c:pt>
                <c:pt idx="66">
                  <c:v>37</c:v>
                </c:pt>
                <c:pt idx="67">
                  <c:v>39</c:v>
                </c:pt>
                <c:pt idx="68">
                  <c:v>41</c:v>
                </c:pt>
                <c:pt idx="69">
                  <c:v>43</c:v>
                </c:pt>
                <c:pt idx="70">
                  <c:v>45</c:v>
                </c:pt>
                <c:pt idx="71">
                  <c:v>47</c:v>
                </c:pt>
                <c:pt idx="72">
                  <c:v>49</c:v>
                </c:pt>
                <c:pt idx="73">
                  <c:v>51</c:v>
                </c:pt>
                <c:pt idx="74">
                  <c:v>53</c:v>
                </c:pt>
                <c:pt idx="75">
                  <c:v>55</c:v>
                </c:pt>
                <c:pt idx="76">
                  <c:v>57</c:v>
                </c:pt>
                <c:pt idx="77">
                  <c:v>59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67</c:v>
                </c:pt>
                <c:pt idx="82">
                  <c:v>69</c:v>
                </c:pt>
                <c:pt idx="83">
                  <c:v>71</c:v>
                </c:pt>
                <c:pt idx="84">
                  <c:v>73</c:v>
                </c:pt>
                <c:pt idx="85">
                  <c:v>75</c:v>
                </c:pt>
                <c:pt idx="86">
                  <c:v>77</c:v>
                </c:pt>
                <c:pt idx="87">
                  <c:v>79</c:v>
                </c:pt>
                <c:pt idx="88">
                  <c:v>81</c:v>
                </c:pt>
                <c:pt idx="89">
                  <c:v>83</c:v>
                </c:pt>
                <c:pt idx="90">
                  <c:v>85</c:v>
                </c:pt>
                <c:pt idx="91">
                  <c:v>87</c:v>
                </c:pt>
                <c:pt idx="92">
                  <c:v>89</c:v>
                </c:pt>
                <c:pt idx="93">
                  <c:v>91</c:v>
                </c:pt>
                <c:pt idx="94">
                  <c:v>93</c:v>
                </c:pt>
                <c:pt idx="95">
                  <c:v>95</c:v>
                </c:pt>
              </c:numCache>
            </c:numRef>
          </c:xVal>
          <c:yVal>
            <c:numRef>
              <c:f>Hoja1!$L$4:$L$99</c:f>
              <c:numCache>
                <c:formatCode>0.00</c:formatCode>
                <c:ptCount val="96"/>
                <c:pt idx="0">
                  <c:v>90.198019801980195</c:v>
                </c:pt>
                <c:pt idx="1">
                  <c:v>96.161616161616166</c:v>
                </c:pt>
                <c:pt idx="2">
                  <c:v>97.641509433962256</c:v>
                </c:pt>
                <c:pt idx="3">
                  <c:v>101.04166666666667</c:v>
                </c:pt>
                <c:pt idx="4">
                  <c:v>96.320754716981128</c:v>
                </c:pt>
                <c:pt idx="5">
                  <c:v>98.598130841121488</c:v>
                </c:pt>
                <c:pt idx="6">
                  <c:v>95.092592592592595</c:v>
                </c:pt>
                <c:pt idx="7">
                  <c:v>97.272727272727266</c:v>
                </c:pt>
                <c:pt idx="8">
                  <c:v>100.86538461538461</c:v>
                </c:pt>
                <c:pt idx="9">
                  <c:v>98.490566037735846</c:v>
                </c:pt>
                <c:pt idx="10">
                  <c:v>103.01886792452829</c:v>
                </c:pt>
                <c:pt idx="11">
                  <c:v>105.15789473684211</c:v>
                </c:pt>
                <c:pt idx="12">
                  <c:v>103.16831683168317</c:v>
                </c:pt>
                <c:pt idx="13">
                  <c:v>102.52525252525253</c:v>
                </c:pt>
                <c:pt idx="14">
                  <c:v>107.45283018867924</c:v>
                </c:pt>
                <c:pt idx="15">
                  <c:v>101.45833333333334</c:v>
                </c:pt>
                <c:pt idx="16">
                  <c:v>105.66037735849056</c:v>
                </c:pt>
                <c:pt idx="17">
                  <c:v>105.32710280373831</c:v>
                </c:pt>
                <c:pt idx="18">
                  <c:v>98.333333333333329</c:v>
                </c:pt>
                <c:pt idx="19">
                  <c:v>102.12121212121212</c:v>
                </c:pt>
                <c:pt idx="20">
                  <c:v>101.53846153846153</c:v>
                </c:pt>
                <c:pt idx="21">
                  <c:v>101.98113207547169</c:v>
                </c:pt>
                <c:pt idx="22">
                  <c:v>104.15094339622641</c:v>
                </c:pt>
                <c:pt idx="23">
                  <c:v>100.21052631578948</c:v>
                </c:pt>
                <c:pt idx="24">
                  <c:v>101.68316831683168</c:v>
                </c:pt>
                <c:pt idx="25">
                  <c:v>103.43434343434345</c:v>
                </c:pt>
                <c:pt idx="26">
                  <c:v>100.37735849056604</c:v>
                </c:pt>
                <c:pt idx="27">
                  <c:v>102.39583333333333</c:v>
                </c:pt>
                <c:pt idx="28">
                  <c:v>102.26415094339623</c:v>
                </c:pt>
                <c:pt idx="29">
                  <c:v>99.252336448598129</c:v>
                </c:pt>
                <c:pt idx="30">
                  <c:v>102.22222222222221</c:v>
                </c:pt>
                <c:pt idx="31">
                  <c:v>100.60606060606061</c:v>
                </c:pt>
                <c:pt idx="32">
                  <c:v>100.76923076923076</c:v>
                </c:pt>
                <c:pt idx="33">
                  <c:v>108.30188679245282</c:v>
                </c:pt>
                <c:pt idx="34">
                  <c:v>102.35849056603773</c:v>
                </c:pt>
                <c:pt idx="35">
                  <c:v>101.89473684210526</c:v>
                </c:pt>
                <c:pt idx="36">
                  <c:v>104.65346534653466</c:v>
                </c:pt>
                <c:pt idx="37">
                  <c:v>103.13131313131312</c:v>
                </c:pt>
                <c:pt idx="38">
                  <c:v>100.28301886792453</c:v>
                </c:pt>
                <c:pt idx="39">
                  <c:v>120.625</c:v>
                </c:pt>
                <c:pt idx="40">
                  <c:v>105.28301886792451</c:v>
                </c:pt>
                <c:pt idx="41">
                  <c:v>106.82242990654204</c:v>
                </c:pt>
                <c:pt idx="42">
                  <c:v>110.64814814814814</c:v>
                </c:pt>
                <c:pt idx="43">
                  <c:v>108.63636363636364</c:v>
                </c:pt>
                <c:pt idx="44">
                  <c:v>111.34615384615384</c:v>
                </c:pt>
                <c:pt idx="45">
                  <c:v>117.92452830188678</c:v>
                </c:pt>
                <c:pt idx="46">
                  <c:v>108.9622641509434</c:v>
                </c:pt>
                <c:pt idx="47">
                  <c:v>112.5263157894737</c:v>
                </c:pt>
                <c:pt idx="48">
                  <c:v>109.4059405940594</c:v>
                </c:pt>
                <c:pt idx="49">
                  <c:v>115.35353535353536</c:v>
                </c:pt>
                <c:pt idx="50">
                  <c:v>114.43396226415094</c:v>
                </c:pt>
                <c:pt idx="51">
                  <c:v>117.08333333333334</c:v>
                </c:pt>
                <c:pt idx="52">
                  <c:v>111.1320754716981</c:v>
                </c:pt>
                <c:pt idx="53">
                  <c:v>115.70093457943925</c:v>
                </c:pt>
                <c:pt idx="54">
                  <c:v>117.12962962962962</c:v>
                </c:pt>
                <c:pt idx="55">
                  <c:v>115.90909090909091</c:v>
                </c:pt>
                <c:pt idx="56">
                  <c:v>115.38461538461539</c:v>
                </c:pt>
                <c:pt idx="57">
                  <c:v>116.69811320754717</c:v>
                </c:pt>
                <c:pt idx="58">
                  <c:v>115.0943396226415</c:v>
                </c:pt>
                <c:pt idx="59">
                  <c:v>117.89473684210527</c:v>
                </c:pt>
                <c:pt idx="60">
                  <c:v>111.78217821782178</c:v>
                </c:pt>
                <c:pt idx="61">
                  <c:v>115.05050505050505</c:v>
                </c:pt>
                <c:pt idx="62">
                  <c:v>116.69811320754717</c:v>
                </c:pt>
                <c:pt idx="63">
                  <c:v>119.68750000000001</c:v>
                </c:pt>
                <c:pt idx="64">
                  <c:v>114.62264150943396</c:v>
                </c:pt>
                <c:pt idx="65">
                  <c:v>117.85046728971962</c:v>
                </c:pt>
                <c:pt idx="66">
                  <c:v>118.7962962962963</c:v>
                </c:pt>
                <c:pt idx="67">
                  <c:v>122.87878787878786</c:v>
                </c:pt>
                <c:pt idx="68">
                  <c:v>120.19230769230769</c:v>
                </c:pt>
                <c:pt idx="69">
                  <c:v>116.41509433962264</c:v>
                </c:pt>
                <c:pt idx="70">
                  <c:v>121.13207547169812</c:v>
                </c:pt>
                <c:pt idx="71">
                  <c:v>124.21052631578948</c:v>
                </c:pt>
                <c:pt idx="72">
                  <c:v>117.32673267326733</c:v>
                </c:pt>
                <c:pt idx="73">
                  <c:v>126.46464646464646</c:v>
                </c:pt>
                <c:pt idx="74">
                  <c:v>128.58490566037736</c:v>
                </c:pt>
                <c:pt idx="75">
                  <c:v>119.58333333333333</c:v>
                </c:pt>
                <c:pt idx="76">
                  <c:v>125.56603773584905</c:v>
                </c:pt>
                <c:pt idx="77">
                  <c:v>124.01869158878503</c:v>
                </c:pt>
                <c:pt idx="78">
                  <c:v>118.98148148148147</c:v>
                </c:pt>
                <c:pt idx="79">
                  <c:v>131.66666666666666</c:v>
                </c:pt>
                <c:pt idx="80">
                  <c:v>120.28846153846153</c:v>
                </c:pt>
                <c:pt idx="81">
                  <c:v>119.62264150943395</c:v>
                </c:pt>
                <c:pt idx="82">
                  <c:v>125.75471698113208</c:v>
                </c:pt>
                <c:pt idx="83">
                  <c:v>118.21052631578948</c:v>
                </c:pt>
                <c:pt idx="84">
                  <c:v>122.97029702970298</c:v>
                </c:pt>
                <c:pt idx="85">
                  <c:v>122.12121212121212</c:v>
                </c:pt>
                <c:pt idx="86">
                  <c:v>123.9622641509434</c:v>
                </c:pt>
                <c:pt idx="87">
                  <c:v>119.16666666666667</c:v>
                </c:pt>
                <c:pt idx="88">
                  <c:v>124.43396226415095</c:v>
                </c:pt>
                <c:pt idx="89">
                  <c:v>120.93457943925233</c:v>
                </c:pt>
                <c:pt idx="90">
                  <c:v>118.5185185185185</c:v>
                </c:pt>
                <c:pt idx="91">
                  <c:v>135.90909090909091</c:v>
                </c:pt>
                <c:pt idx="92">
                  <c:v>116.82692307692307</c:v>
                </c:pt>
                <c:pt idx="93">
                  <c:v>123.20754716981131</c:v>
                </c:pt>
                <c:pt idx="94">
                  <c:v>119.81132075471697</c:v>
                </c:pt>
                <c:pt idx="95">
                  <c:v>113.05263157894738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75-4157-BDD4-4D07DC58A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055920"/>
        <c:axId val="1260061680"/>
      </c:scatterChart>
      <c:valAx>
        <c:axId val="1260055920"/>
        <c:scaling>
          <c:orientation val="minMax"/>
          <c:max val="12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0061680"/>
        <c:crosses val="autoZero"/>
        <c:crossBetween val="midCat"/>
      </c:valAx>
      <c:valAx>
        <c:axId val="126006168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005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361439</xdr:colOff>
      <xdr:row>127</xdr:row>
      <xdr:rowOff>36673</xdr:rowOff>
    </xdr:from>
    <xdr:to>
      <xdr:col>11</xdr:col>
      <xdr:colOff>493465</xdr:colOff>
      <xdr:row>143</xdr:row>
      <xdr:rowOff>54602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8B4DBF-B2F6-C241-26FA-DCF2A5874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119</xdr:row>
      <xdr:rowOff>141514</xdr:rowOff>
    </xdr:from>
    <xdr:to>
      <xdr:col>5</xdr:col>
      <xdr:colOff>141514</xdr:colOff>
      <xdr:row>136</xdr:row>
      <xdr:rowOff>97971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761404-03C9-1429-3B2C-35ECBC2BA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zoomScale="85" zoomScaleNormal="85" workbookViewId="0">
      <selection activeCell="K121" sqref="K121"/>
    </sheetView>
  </sheetViews>
  <sheetFormatPr baseColWidth="10" defaultColWidth="11.5546875" defaultRowHeight="13.2"/>
  <cols>
    <col min="2" max="2" width="22.77734375" customWidth="1"/>
    <col min="3" max="3" width="18.88671875" customWidth="1"/>
    <col min="7" max="7" width="17.88671875" customWidth="1"/>
    <col min="9" max="9" width="12.44140625" customWidth="1"/>
    <col min="10" max="10" width="16.6640625" customWidth="1"/>
    <col min="12" max="12" width="13.109375" customWidth="1"/>
    <col min="15" max="15" width="20.5546875" customWidth="1"/>
    <col min="16" max="16" width="16.6640625" bestFit="1" customWidth="1"/>
    <col min="17" max="17" width="15.33203125" customWidth="1"/>
  </cols>
  <sheetData>
    <row r="1" spans="1:13">
      <c r="A1" s="32">
        <v>2003</v>
      </c>
      <c r="B1" s="2">
        <v>2004</v>
      </c>
      <c r="C1" s="34">
        <v>2005</v>
      </c>
      <c r="D1" s="35">
        <v>2006</v>
      </c>
      <c r="E1" s="31">
        <v>2007</v>
      </c>
      <c r="F1" s="3">
        <v>2008</v>
      </c>
      <c r="G1" s="30">
        <v>2009</v>
      </c>
      <c r="H1" s="41">
        <v>2010</v>
      </c>
    </row>
    <row r="3" spans="1:13">
      <c r="A3" s="4" t="s">
        <v>12</v>
      </c>
      <c r="B3" s="4" t="s">
        <v>43</v>
      </c>
      <c r="C3" s="4" t="s">
        <v>13</v>
      </c>
      <c r="D3" s="4" t="s">
        <v>14</v>
      </c>
      <c r="E3" s="4" t="s">
        <v>15</v>
      </c>
      <c r="F3" s="4" t="s">
        <v>16</v>
      </c>
      <c r="G3" s="15" t="s">
        <v>21</v>
      </c>
      <c r="H3" s="4" t="s">
        <v>18</v>
      </c>
      <c r="I3" s="15" t="s">
        <v>17</v>
      </c>
      <c r="J3" s="15" t="s">
        <v>20</v>
      </c>
      <c r="K3" s="15" t="s">
        <v>24</v>
      </c>
      <c r="L3" s="15" t="s">
        <v>25</v>
      </c>
      <c r="M3" s="15" t="s">
        <v>46</v>
      </c>
    </row>
    <row r="4" spans="1:13">
      <c r="A4" s="33" t="s">
        <v>0</v>
      </c>
      <c r="B4">
        <v>91.1</v>
      </c>
      <c r="C4" s="12">
        <v>91.1</v>
      </c>
      <c r="D4" s="12">
        <v>91.1</v>
      </c>
      <c r="E4" s="12">
        <v>91.1</v>
      </c>
      <c r="F4" s="5"/>
      <c r="G4" s="5"/>
      <c r="H4" s="6">
        <v>1</v>
      </c>
      <c r="I4" s="5">
        <f>2*(H4-$C$108)</f>
        <v>-95</v>
      </c>
      <c r="J4" s="6"/>
      <c r="K4" s="22">
        <v>1.01</v>
      </c>
      <c r="L4" s="16">
        <f>B4/K4</f>
        <v>90.198019801980195</v>
      </c>
    </row>
    <row r="5" spans="1:13">
      <c r="A5" s="33" t="s">
        <v>1</v>
      </c>
      <c r="B5">
        <v>95.2</v>
      </c>
      <c r="C5" s="12">
        <f>0.25*B5+(1-0.25)*C4</f>
        <v>92.124999999999986</v>
      </c>
      <c r="D5" s="12">
        <f>0.5*C5+(1-0.5)*D4</f>
        <v>91.612499999999983</v>
      </c>
      <c r="E5" s="12">
        <f>0.75*D5+(1-0.75)*E4</f>
        <v>91.484375</v>
      </c>
      <c r="F5" s="5"/>
      <c r="G5" s="5"/>
      <c r="H5" s="6">
        <v>2</v>
      </c>
      <c r="I5" s="5">
        <f>2*(H5-$C$108)</f>
        <v>-93</v>
      </c>
      <c r="J5" s="6"/>
      <c r="K5" s="22">
        <v>0.99</v>
      </c>
      <c r="L5" s="16">
        <f t="shared" ref="L5:L68" si="0">B5/K5</f>
        <v>96.161616161616166</v>
      </c>
    </row>
    <row r="6" spans="1:13">
      <c r="A6" s="33" t="s">
        <v>2</v>
      </c>
      <c r="B6">
        <v>103.5</v>
      </c>
      <c r="C6" s="12">
        <f t="shared" ref="C6:C69" si="1">0.25*B6+(1-0.25)*C5</f>
        <v>94.968749999999986</v>
      </c>
      <c r="D6" s="12">
        <f t="shared" ref="D6:D69" si="2">0.5*C6+(1-0.5)*D5</f>
        <v>93.290624999999977</v>
      </c>
      <c r="E6" s="12">
        <f t="shared" ref="E6:E69" si="3">0.75*D6+(1-0.75)*E5</f>
        <v>92.839062499999983</v>
      </c>
      <c r="F6" s="5"/>
      <c r="G6" s="5"/>
      <c r="H6" s="6">
        <v>3</v>
      </c>
      <c r="I6" s="5">
        <f>2*(H6-$C$108)</f>
        <v>-91</v>
      </c>
      <c r="J6" s="6"/>
      <c r="K6" s="22">
        <v>1.06</v>
      </c>
      <c r="L6" s="16">
        <f t="shared" si="0"/>
        <v>97.641509433962256</v>
      </c>
    </row>
    <row r="7" spans="1:13">
      <c r="A7" s="33" t="s">
        <v>3</v>
      </c>
      <c r="B7">
        <v>97</v>
      </c>
      <c r="C7" s="12">
        <f t="shared" si="1"/>
        <v>95.476562499999986</v>
      </c>
      <c r="D7" s="12">
        <f t="shared" si="2"/>
        <v>94.383593749999989</v>
      </c>
      <c r="E7" s="12">
        <f t="shared" si="3"/>
        <v>93.997460937499994</v>
      </c>
      <c r="F7" s="5"/>
      <c r="G7" s="5"/>
      <c r="H7" s="6">
        <v>4</v>
      </c>
      <c r="I7" s="5">
        <f>2*(H7-$C$108)</f>
        <v>-89</v>
      </c>
      <c r="J7" s="6"/>
      <c r="K7" s="22">
        <v>0.96</v>
      </c>
      <c r="L7" s="16">
        <f t="shared" si="0"/>
        <v>101.04166666666667</v>
      </c>
    </row>
    <row r="8" spans="1:13">
      <c r="A8" s="33" t="s">
        <v>4</v>
      </c>
      <c r="B8">
        <v>102.1</v>
      </c>
      <c r="C8" s="12">
        <f t="shared" si="1"/>
        <v>97.132421874999977</v>
      </c>
      <c r="D8" s="12">
        <f t="shared" si="2"/>
        <v>95.758007812499983</v>
      </c>
      <c r="E8" s="12">
        <f t="shared" si="3"/>
        <v>95.31787109375</v>
      </c>
      <c r="F8" s="5"/>
      <c r="G8" s="5"/>
      <c r="H8" s="6">
        <v>5</v>
      </c>
      <c r="I8" s="5">
        <f>2*(H8-$C$108)</f>
        <v>-87</v>
      </c>
      <c r="J8" s="6"/>
      <c r="K8" s="22">
        <v>1.06</v>
      </c>
      <c r="L8" s="16">
        <f t="shared" si="0"/>
        <v>96.320754716981128</v>
      </c>
    </row>
    <row r="9" spans="1:13">
      <c r="A9" s="33" t="s">
        <v>5</v>
      </c>
      <c r="B9">
        <v>105.5</v>
      </c>
      <c r="C9" s="12">
        <f t="shared" si="1"/>
        <v>99.224316406249983</v>
      </c>
      <c r="D9" s="12">
        <f t="shared" si="2"/>
        <v>97.491162109374983</v>
      </c>
      <c r="E9" s="12">
        <f t="shared" si="3"/>
        <v>96.947839355468744</v>
      </c>
      <c r="F9" s="12">
        <f>(B4+B5+B6+B7+B8+B9+B10+B11+B12+B13+B14+B15)/12</f>
        <v>98.308333333333337</v>
      </c>
      <c r="G9" s="5"/>
      <c r="H9" s="6">
        <v>6</v>
      </c>
      <c r="I9" s="5">
        <f>2*(H9-$C$108)</f>
        <v>-85</v>
      </c>
      <c r="J9" s="6"/>
      <c r="K9" s="22">
        <v>1.07</v>
      </c>
      <c r="L9" s="16">
        <f t="shared" si="0"/>
        <v>98.598130841121488</v>
      </c>
    </row>
    <row r="10" spans="1:13">
      <c r="A10" s="33" t="s">
        <v>6</v>
      </c>
      <c r="B10">
        <v>102.7</v>
      </c>
      <c r="C10" s="12">
        <f t="shared" si="1"/>
        <v>100.09323730468749</v>
      </c>
      <c r="D10" s="12">
        <f t="shared" si="2"/>
        <v>98.792199707031244</v>
      </c>
      <c r="E10" s="12">
        <f t="shared" si="3"/>
        <v>98.331109619140619</v>
      </c>
      <c r="F10" s="12">
        <f t="shared" ref="F10:F73" si="4">(B5+B6+B7+B8+B9+B10+B11+B12+B13+B14+B15+B16)/12</f>
        <v>99.40000000000002</v>
      </c>
      <c r="G10" s="12">
        <f>(F9+F10)/2</f>
        <v>98.854166666666686</v>
      </c>
      <c r="H10" s="6">
        <v>7</v>
      </c>
      <c r="I10" s="5">
        <f>2*(H10-$C$108)</f>
        <v>-83</v>
      </c>
      <c r="J10" s="16">
        <f>B10/G10</f>
        <v>1.038904109589041</v>
      </c>
      <c r="K10" s="22">
        <v>1.08</v>
      </c>
      <c r="L10" s="16">
        <f t="shared" si="0"/>
        <v>95.092592592592595</v>
      </c>
      <c r="M10" s="14">
        <f>L10/J10</f>
        <v>91.53163580246914</v>
      </c>
    </row>
    <row r="11" spans="1:13">
      <c r="A11" s="33" t="s">
        <v>7</v>
      </c>
      <c r="B11">
        <v>64.2</v>
      </c>
      <c r="C11" s="12">
        <f t="shared" si="1"/>
        <v>91.119927978515619</v>
      </c>
      <c r="D11" s="12">
        <f t="shared" si="2"/>
        <v>94.956063842773432</v>
      </c>
      <c r="E11" s="12">
        <f t="shared" si="3"/>
        <v>95.799825286865229</v>
      </c>
      <c r="F11" s="12">
        <f t="shared" si="4"/>
        <v>99.924999999999997</v>
      </c>
      <c r="G11" s="12">
        <f t="shared" ref="G11:G74" si="5">(F10+F11)/2</f>
        <v>99.662500000000009</v>
      </c>
      <c r="H11" s="6">
        <v>8</v>
      </c>
      <c r="I11" s="5">
        <f>2*(H11-$C$108)</f>
        <v>-81</v>
      </c>
      <c r="J11" s="16">
        <f t="shared" ref="J11:J74" si="6">B11/G11</f>
        <v>0.6441740875454659</v>
      </c>
      <c r="K11" s="22">
        <v>0.66</v>
      </c>
      <c r="L11" s="16">
        <f t="shared" si="0"/>
        <v>97.272727272727266</v>
      </c>
      <c r="M11" s="14">
        <f t="shared" ref="M11:M74" si="7">L11/J11</f>
        <v>151.00378787878788</v>
      </c>
    </row>
    <row r="12" spans="1:13">
      <c r="A12" s="33" t="s">
        <v>8</v>
      </c>
      <c r="B12">
        <v>104.9</v>
      </c>
      <c r="C12" s="12">
        <f t="shared" si="1"/>
        <v>94.564945983886702</v>
      </c>
      <c r="D12" s="12">
        <f t="shared" si="2"/>
        <v>94.760504913330067</v>
      </c>
      <c r="E12" s="12">
        <f t="shared" si="3"/>
        <v>95.02033500671385</v>
      </c>
      <c r="F12" s="12">
        <f t="shared" si="4"/>
        <v>100.79166666666667</v>
      </c>
      <c r="G12" s="12">
        <f t="shared" si="5"/>
        <v>100.35833333333333</v>
      </c>
      <c r="H12" s="6">
        <v>9</v>
      </c>
      <c r="I12" s="5">
        <f>2*(H12-$C$108)</f>
        <v>-79</v>
      </c>
      <c r="J12" s="16">
        <f t="shared" si="6"/>
        <v>1.045254504691522</v>
      </c>
      <c r="K12" s="22">
        <v>1.04</v>
      </c>
      <c r="L12" s="16">
        <f t="shared" si="0"/>
        <v>100.86538461538461</v>
      </c>
      <c r="M12" s="14">
        <f t="shared" si="7"/>
        <v>96.498397435897431</v>
      </c>
    </row>
    <row r="13" spans="1:13">
      <c r="A13" s="33" t="s">
        <v>9</v>
      </c>
      <c r="B13">
        <v>104.4</v>
      </c>
      <c r="C13" s="12">
        <f t="shared" si="1"/>
        <v>97.023709487915028</v>
      </c>
      <c r="D13" s="12">
        <f t="shared" si="2"/>
        <v>95.892107200622547</v>
      </c>
      <c r="E13" s="12">
        <f t="shared" si="3"/>
        <v>95.67416415214538</v>
      </c>
      <c r="F13" s="12">
        <f t="shared" si="4"/>
        <v>100.825</v>
      </c>
      <c r="G13" s="12">
        <f t="shared" si="5"/>
        <v>100.80833333333334</v>
      </c>
      <c r="H13" s="6">
        <v>10</v>
      </c>
      <c r="I13" s="5">
        <f>2*(H13-$C$108)</f>
        <v>-77</v>
      </c>
      <c r="J13" s="16">
        <f t="shared" si="6"/>
        <v>1.035628668264859</v>
      </c>
      <c r="K13" s="22">
        <v>1.06</v>
      </c>
      <c r="L13" s="16">
        <f t="shared" si="0"/>
        <v>98.490566037735846</v>
      </c>
      <c r="M13" s="14">
        <f t="shared" si="7"/>
        <v>95.102201257861637</v>
      </c>
    </row>
    <row r="14" spans="1:13">
      <c r="A14" s="33" t="s">
        <v>10</v>
      </c>
      <c r="B14">
        <v>109.2</v>
      </c>
      <c r="C14" s="12">
        <f t="shared" si="1"/>
        <v>100.06778211593627</v>
      </c>
      <c r="D14" s="12">
        <f t="shared" si="2"/>
        <v>97.979944658279408</v>
      </c>
      <c r="E14" s="12">
        <f t="shared" si="3"/>
        <v>97.403499531745894</v>
      </c>
      <c r="F14" s="12">
        <f t="shared" si="4"/>
        <v>101.64999999999999</v>
      </c>
      <c r="G14" s="12">
        <f t="shared" si="5"/>
        <v>101.2375</v>
      </c>
      <c r="H14" s="6">
        <v>11</v>
      </c>
      <c r="I14" s="5">
        <f>2*(H14-$C$108)</f>
        <v>-75</v>
      </c>
      <c r="J14" s="16">
        <f t="shared" si="6"/>
        <v>1.0786516853932584</v>
      </c>
      <c r="K14" s="22">
        <v>1.06</v>
      </c>
      <c r="L14" s="16">
        <f t="shared" si="0"/>
        <v>103.01886792452829</v>
      </c>
      <c r="M14" s="14">
        <f t="shared" si="7"/>
        <v>95.507075471698116</v>
      </c>
    </row>
    <row r="15" spans="1:13">
      <c r="A15" s="33" t="s">
        <v>11</v>
      </c>
      <c r="B15">
        <v>99.9</v>
      </c>
      <c r="C15" s="12">
        <f t="shared" si="1"/>
        <v>100.02583658695221</v>
      </c>
      <c r="D15" s="12">
        <f t="shared" si="2"/>
        <v>99.002890622615809</v>
      </c>
      <c r="E15" s="12">
        <f t="shared" si="3"/>
        <v>98.603042849898316</v>
      </c>
      <c r="F15" s="12">
        <f t="shared" si="4"/>
        <v>102.25000000000001</v>
      </c>
      <c r="G15" s="12">
        <f t="shared" si="5"/>
        <v>101.95</v>
      </c>
      <c r="H15" s="6">
        <v>12</v>
      </c>
      <c r="I15" s="5">
        <f>2*(H15-$C$108)</f>
        <v>-73</v>
      </c>
      <c r="J15" s="16">
        <f t="shared" si="6"/>
        <v>0.97989210397253557</v>
      </c>
      <c r="K15" s="22">
        <v>0.95</v>
      </c>
      <c r="L15" s="16">
        <f t="shared" si="0"/>
        <v>105.15789473684211</v>
      </c>
      <c r="M15" s="14">
        <f t="shared" si="7"/>
        <v>107.31578947368422</v>
      </c>
    </row>
    <row r="16" spans="1:13">
      <c r="A16" s="8" t="s">
        <v>0</v>
      </c>
      <c r="B16">
        <v>104.2</v>
      </c>
      <c r="C16" s="12">
        <f t="shared" si="1"/>
        <v>101.06937744021415</v>
      </c>
      <c r="D16" s="12">
        <f t="shared" si="2"/>
        <v>100.03613403141497</v>
      </c>
      <c r="E16" s="12">
        <f t="shared" si="3"/>
        <v>99.67786123603581</v>
      </c>
      <c r="F16" s="12">
        <f t="shared" si="4"/>
        <v>102.54166666666667</v>
      </c>
      <c r="G16" s="12">
        <f t="shared" si="5"/>
        <v>102.39583333333334</v>
      </c>
      <c r="H16" s="6">
        <v>13</v>
      </c>
      <c r="I16" s="5">
        <f>2*(H16-$C$108)</f>
        <v>-71</v>
      </c>
      <c r="J16" s="16">
        <f t="shared" si="6"/>
        <v>1.017619532044761</v>
      </c>
      <c r="K16" s="22">
        <v>1.01</v>
      </c>
      <c r="L16" s="16">
        <f t="shared" si="0"/>
        <v>103.16831683168317</v>
      </c>
      <c r="M16" s="14">
        <f t="shared" si="7"/>
        <v>101.38201320132013</v>
      </c>
    </row>
    <row r="17" spans="1:13">
      <c r="A17" s="8" t="s">
        <v>1</v>
      </c>
      <c r="B17">
        <v>101.5</v>
      </c>
      <c r="C17" s="12">
        <f t="shared" si="1"/>
        <v>101.17703308016061</v>
      </c>
      <c r="D17" s="12">
        <f t="shared" si="2"/>
        <v>100.60658355578779</v>
      </c>
      <c r="E17" s="12">
        <f t="shared" si="3"/>
        <v>100.3744029758498</v>
      </c>
      <c r="F17" s="12">
        <f t="shared" si="4"/>
        <v>102.80833333333334</v>
      </c>
      <c r="G17" s="12">
        <f t="shared" si="5"/>
        <v>102.67500000000001</v>
      </c>
      <c r="H17" s="6">
        <v>14</v>
      </c>
      <c r="I17" s="5">
        <f>2*(H17-$C$108)</f>
        <v>-69</v>
      </c>
      <c r="J17" s="16">
        <f t="shared" si="6"/>
        <v>0.98855612369125867</v>
      </c>
      <c r="K17" s="22">
        <v>0.99</v>
      </c>
      <c r="L17" s="16">
        <f t="shared" si="0"/>
        <v>102.52525252525253</v>
      </c>
      <c r="M17" s="14">
        <f t="shared" si="7"/>
        <v>103.71212121212123</v>
      </c>
    </row>
    <row r="18" spans="1:13">
      <c r="A18" s="8" t="s">
        <v>2</v>
      </c>
      <c r="B18">
        <v>113.9</v>
      </c>
      <c r="C18" s="12">
        <f t="shared" si="1"/>
        <v>104.35777481012045</v>
      </c>
      <c r="D18" s="12">
        <f t="shared" si="2"/>
        <v>102.48217918295413</v>
      </c>
      <c r="E18" s="12">
        <f t="shared" si="3"/>
        <v>101.95523513117804</v>
      </c>
      <c r="F18" s="12">
        <f t="shared" si="4"/>
        <v>102.86666666666667</v>
      </c>
      <c r="G18" s="12">
        <f t="shared" si="5"/>
        <v>102.83750000000001</v>
      </c>
      <c r="H18" s="6">
        <v>15</v>
      </c>
      <c r="I18" s="5">
        <f>2*(H18-$C$108)</f>
        <v>-67</v>
      </c>
      <c r="J18" s="16">
        <f t="shared" si="6"/>
        <v>1.1075726267169077</v>
      </c>
      <c r="K18" s="22">
        <v>1.06</v>
      </c>
      <c r="L18" s="16">
        <f t="shared" si="0"/>
        <v>107.45283018867924</v>
      </c>
      <c r="M18" s="14">
        <f t="shared" si="7"/>
        <v>97.01650943396227</v>
      </c>
    </row>
    <row r="19" spans="1:13">
      <c r="A19" s="8" t="s">
        <v>3</v>
      </c>
      <c r="B19">
        <v>97.4</v>
      </c>
      <c r="C19" s="12">
        <f t="shared" si="1"/>
        <v>102.61833110759034</v>
      </c>
      <c r="D19" s="12">
        <f t="shared" si="2"/>
        <v>102.55025514527223</v>
      </c>
      <c r="E19" s="12">
        <f t="shared" si="3"/>
        <v>102.40150014174868</v>
      </c>
      <c r="F19" s="12">
        <f t="shared" si="4"/>
        <v>103.175</v>
      </c>
      <c r="G19" s="12">
        <f t="shared" si="5"/>
        <v>103.02083333333334</v>
      </c>
      <c r="H19" s="6">
        <v>16</v>
      </c>
      <c r="I19" s="5">
        <f>2*(H19-$C$108)</f>
        <v>-65</v>
      </c>
      <c r="J19" s="16">
        <f t="shared" si="6"/>
        <v>0.94543983822042466</v>
      </c>
      <c r="K19" s="22">
        <v>0.96</v>
      </c>
      <c r="L19" s="16">
        <f t="shared" si="0"/>
        <v>101.45833333333334</v>
      </c>
      <c r="M19" s="14">
        <f t="shared" si="7"/>
        <v>107.31336805555557</v>
      </c>
    </row>
    <row r="20" spans="1:13">
      <c r="A20" s="8" t="s">
        <v>4</v>
      </c>
      <c r="B20">
        <v>112</v>
      </c>
      <c r="C20" s="12">
        <f t="shared" si="1"/>
        <v>104.96374833069275</v>
      </c>
      <c r="D20" s="12">
        <f t="shared" si="2"/>
        <v>103.75700173798249</v>
      </c>
      <c r="E20" s="12">
        <f t="shared" si="3"/>
        <v>103.41812633892404</v>
      </c>
      <c r="F20" s="12">
        <f t="shared" si="4"/>
        <v>103.27500000000002</v>
      </c>
      <c r="G20" s="12">
        <f t="shared" si="5"/>
        <v>103.22500000000001</v>
      </c>
      <c r="H20" s="6">
        <v>17</v>
      </c>
      <c r="I20" s="5">
        <f>2*(H20-$C$108)</f>
        <v>-63</v>
      </c>
      <c r="J20" s="16">
        <f t="shared" si="6"/>
        <v>1.0850084766287236</v>
      </c>
      <c r="K20" s="22">
        <v>1.06</v>
      </c>
      <c r="L20" s="16">
        <f t="shared" si="0"/>
        <v>105.66037735849056</v>
      </c>
      <c r="M20" s="14">
        <f t="shared" si="7"/>
        <v>97.382075471698116</v>
      </c>
    </row>
    <row r="21" spans="1:13">
      <c r="A21" s="8" t="s">
        <v>5</v>
      </c>
      <c r="B21">
        <v>112.7</v>
      </c>
      <c r="C21" s="12">
        <f t="shared" si="1"/>
        <v>106.89781124801956</v>
      </c>
      <c r="D21" s="12">
        <f t="shared" si="2"/>
        <v>105.32740649300104</v>
      </c>
      <c r="E21" s="12">
        <f t="shared" si="3"/>
        <v>104.85008645448178</v>
      </c>
      <c r="F21" s="12">
        <f t="shared" si="4"/>
        <v>102.88333333333334</v>
      </c>
      <c r="G21" s="12">
        <f t="shared" si="5"/>
        <v>103.07916666666668</v>
      </c>
      <c r="H21" s="6">
        <v>18</v>
      </c>
      <c r="I21" s="5">
        <f>2*(H21-$C$108)</f>
        <v>-61</v>
      </c>
      <c r="J21" s="16">
        <f t="shared" si="6"/>
        <v>1.0933344112534862</v>
      </c>
      <c r="K21" s="22">
        <v>1.07</v>
      </c>
      <c r="L21" s="16">
        <f t="shared" si="0"/>
        <v>105.32710280373831</v>
      </c>
      <c r="M21" s="14">
        <f t="shared" si="7"/>
        <v>96.335669781931486</v>
      </c>
    </row>
    <row r="22" spans="1:13">
      <c r="A22" s="8" t="s">
        <v>6</v>
      </c>
      <c r="B22">
        <v>106.2</v>
      </c>
      <c r="C22" s="12">
        <f t="shared" si="1"/>
        <v>106.72335843601466</v>
      </c>
      <c r="D22" s="12">
        <f t="shared" si="2"/>
        <v>106.02538246450786</v>
      </c>
      <c r="E22" s="12">
        <f t="shared" si="3"/>
        <v>105.73155846200135</v>
      </c>
      <c r="F22" s="12">
        <f t="shared" si="4"/>
        <v>102.75833333333334</v>
      </c>
      <c r="G22" s="12">
        <f t="shared" si="5"/>
        <v>102.82083333333334</v>
      </c>
      <c r="H22" s="6">
        <v>19</v>
      </c>
      <c r="I22" s="5">
        <f>2*(H22-$C$108)</f>
        <v>-59</v>
      </c>
      <c r="J22" s="16">
        <f t="shared" si="6"/>
        <v>1.0328646107711634</v>
      </c>
      <c r="K22" s="22">
        <v>1.08</v>
      </c>
      <c r="L22" s="16">
        <f t="shared" si="0"/>
        <v>98.333333333333329</v>
      </c>
      <c r="M22" s="14">
        <f t="shared" si="7"/>
        <v>95.204475308641975</v>
      </c>
    </row>
    <row r="23" spans="1:13">
      <c r="A23" s="8" t="s">
        <v>7</v>
      </c>
      <c r="B23">
        <v>67.400000000000006</v>
      </c>
      <c r="C23" s="12">
        <f t="shared" si="1"/>
        <v>96.892518827011003</v>
      </c>
      <c r="D23" s="12">
        <f t="shared" si="2"/>
        <v>101.45895064575943</v>
      </c>
      <c r="E23" s="12">
        <f t="shared" si="3"/>
        <v>102.5271025998199</v>
      </c>
      <c r="F23" s="12">
        <f t="shared" si="4"/>
        <v>102.83333333333336</v>
      </c>
      <c r="G23" s="12">
        <f t="shared" si="5"/>
        <v>102.79583333333335</v>
      </c>
      <c r="H23" s="6">
        <v>20</v>
      </c>
      <c r="I23" s="5">
        <f>2*(H23-$C$108)</f>
        <v>-57</v>
      </c>
      <c r="J23" s="16">
        <f t="shared" si="6"/>
        <v>0.65566859875967731</v>
      </c>
      <c r="K23" s="22">
        <v>0.66</v>
      </c>
      <c r="L23" s="16">
        <f t="shared" si="0"/>
        <v>102.12121212121212</v>
      </c>
      <c r="M23" s="14">
        <f t="shared" si="7"/>
        <v>155.75126262626264</v>
      </c>
    </row>
    <row r="24" spans="1:13">
      <c r="A24" s="8" t="s">
        <v>8</v>
      </c>
      <c r="B24">
        <v>105.6</v>
      </c>
      <c r="C24" s="12">
        <f t="shared" si="1"/>
        <v>99.069389120258251</v>
      </c>
      <c r="D24" s="12">
        <f t="shared" si="2"/>
        <v>100.26416988300883</v>
      </c>
      <c r="E24" s="12">
        <f t="shared" si="3"/>
        <v>100.8299030622116</v>
      </c>
      <c r="F24" s="12">
        <f t="shared" si="4"/>
        <v>102.20833333333336</v>
      </c>
      <c r="G24" s="12">
        <f t="shared" si="5"/>
        <v>102.52083333333336</v>
      </c>
      <c r="H24" s="6">
        <v>21</v>
      </c>
      <c r="I24" s="5">
        <f>2*(H24-$C$108)</f>
        <v>-55</v>
      </c>
      <c r="J24" s="16">
        <f t="shared" si="6"/>
        <v>1.0300345458240192</v>
      </c>
      <c r="K24" s="22">
        <v>1.04</v>
      </c>
      <c r="L24" s="16">
        <f t="shared" si="0"/>
        <v>101.53846153846153</v>
      </c>
      <c r="M24" s="14">
        <f t="shared" si="7"/>
        <v>98.577724358974379</v>
      </c>
    </row>
    <row r="25" spans="1:13">
      <c r="A25" s="8" t="s">
        <v>9</v>
      </c>
      <c r="B25">
        <v>108.1</v>
      </c>
      <c r="C25" s="12">
        <f t="shared" si="1"/>
        <v>101.32704184019369</v>
      </c>
      <c r="D25" s="12">
        <f t="shared" si="2"/>
        <v>100.79560586160126</v>
      </c>
      <c r="E25" s="12">
        <f t="shared" si="3"/>
        <v>100.80418016175385</v>
      </c>
      <c r="F25" s="12">
        <f t="shared" si="4"/>
        <v>102.28333333333335</v>
      </c>
      <c r="G25" s="12">
        <f t="shared" si="5"/>
        <v>102.24583333333335</v>
      </c>
      <c r="H25" s="6">
        <v>22</v>
      </c>
      <c r="I25" s="5">
        <f>2*(H25-$C$108)</f>
        <v>-53</v>
      </c>
      <c r="J25" s="16">
        <f t="shared" si="6"/>
        <v>1.0572557968947387</v>
      </c>
      <c r="K25" s="22">
        <v>1.06</v>
      </c>
      <c r="L25" s="16">
        <f t="shared" si="0"/>
        <v>101.98113207547169</v>
      </c>
      <c r="M25" s="14">
        <f t="shared" si="7"/>
        <v>96.458333333333357</v>
      </c>
    </row>
    <row r="26" spans="1:13">
      <c r="A26" s="8" t="s">
        <v>10</v>
      </c>
      <c r="B26">
        <v>110.4</v>
      </c>
      <c r="C26" s="12">
        <f t="shared" si="1"/>
        <v>103.59528138014525</v>
      </c>
      <c r="D26" s="12">
        <f t="shared" si="2"/>
        <v>102.19544362087325</v>
      </c>
      <c r="E26" s="12">
        <f t="shared" si="3"/>
        <v>101.8476277560934</v>
      </c>
      <c r="F26" s="12">
        <f t="shared" si="4"/>
        <v>101.98333333333335</v>
      </c>
      <c r="G26" s="12">
        <f t="shared" si="5"/>
        <v>102.13333333333335</v>
      </c>
      <c r="H26" s="6">
        <v>23</v>
      </c>
      <c r="I26" s="5">
        <f>2*(H26-$C$108)</f>
        <v>-51</v>
      </c>
      <c r="J26" s="16">
        <f t="shared" si="6"/>
        <v>1.0809399477806787</v>
      </c>
      <c r="K26" s="22">
        <v>1.06</v>
      </c>
      <c r="L26" s="16">
        <f t="shared" si="0"/>
        <v>104.15094339622641</v>
      </c>
      <c r="M26" s="14">
        <f t="shared" si="7"/>
        <v>96.352201257861637</v>
      </c>
    </row>
    <row r="27" spans="1:13">
      <c r="A27" s="8" t="s">
        <v>11</v>
      </c>
      <c r="B27">
        <v>95.2</v>
      </c>
      <c r="C27" s="12">
        <f t="shared" si="1"/>
        <v>101.49646103510894</v>
      </c>
      <c r="D27" s="12">
        <f t="shared" si="2"/>
        <v>101.84595232799109</v>
      </c>
      <c r="E27" s="12">
        <f t="shared" si="3"/>
        <v>101.84637118501666</v>
      </c>
      <c r="F27" s="12">
        <f t="shared" si="4"/>
        <v>101.44166666666668</v>
      </c>
      <c r="G27" s="12">
        <f t="shared" si="5"/>
        <v>101.71250000000001</v>
      </c>
      <c r="H27" s="6">
        <v>24</v>
      </c>
      <c r="I27" s="5">
        <f>2*(H27-$C$108)</f>
        <v>-49</v>
      </c>
      <c r="J27" s="16">
        <f t="shared" si="6"/>
        <v>0.93597148826348775</v>
      </c>
      <c r="K27" s="22">
        <v>0.95</v>
      </c>
      <c r="L27" s="16">
        <f t="shared" si="0"/>
        <v>100.21052631578948</v>
      </c>
      <c r="M27" s="14">
        <f t="shared" si="7"/>
        <v>107.06578947368422</v>
      </c>
    </row>
    <row r="28" spans="1:13">
      <c r="A28" s="7" t="s">
        <v>0</v>
      </c>
      <c r="B28">
        <v>102.7</v>
      </c>
      <c r="C28" s="12">
        <f t="shared" si="1"/>
        <v>101.7973457763317</v>
      </c>
      <c r="D28" s="12">
        <f t="shared" si="2"/>
        <v>101.82164905216139</v>
      </c>
      <c r="E28" s="12">
        <f t="shared" si="3"/>
        <v>101.82782958537521</v>
      </c>
      <c r="F28" s="12">
        <f t="shared" si="4"/>
        <v>101.79166666666667</v>
      </c>
      <c r="G28" s="12">
        <f t="shared" si="5"/>
        <v>101.61666666666667</v>
      </c>
      <c r="H28" s="6">
        <v>25</v>
      </c>
      <c r="I28" s="5">
        <f>2*(H28-$C$108)</f>
        <v>-47</v>
      </c>
      <c r="J28" s="16">
        <f t="shared" si="6"/>
        <v>1.0106609808102345</v>
      </c>
      <c r="K28" s="22">
        <v>1.01</v>
      </c>
      <c r="L28" s="16">
        <f t="shared" si="0"/>
        <v>101.68316831683168</v>
      </c>
      <c r="M28" s="14">
        <f t="shared" si="7"/>
        <v>100.61056105610561</v>
      </c>
    </row>
    <row r="29" spans="1:13">
      <c r="A29" s="7" t="s">
        <v>1</v>
      </c>
      <c r="B29">
        <v>102.4</v>
      </c>
      <c r="C29" s="12">
        <f t="shared" si="1"/>
        <v>101.94800933224877</v>
      </c>
      <c r="D29" s="12">
        <f t="shared" si="2"/>
        <v>101.88482919220507</v>
      </c>
      <c r="E29" s="12">
        <f t="shared" si="3"/>
        <v>101.8705792904976</v>
      </c>
      <c r="F29" s="12">
        <f t="shared" si="4"/>
        <v>101.70833333333333</v>
      </c>
      <c r="G29" s="12">
        <f t="shared" si="5"/>
        <v>101.75</v>
      </c>
      <c r="H29" s="6">
        <v>26</v>
      </c>
      <c r="I29" s="5">
        <f>2*(H29-$C$108)</f>
        <v>-45</v>
      </c>
      <c r="J29" s="16">
        <f t="shared" si="6"/>
        <v>1.0063882063882064</v>
      </c>
      <c r="K29" s="22">
        <v>0.99</v>
      </c>
      <c r="L29" s="16">
        <f t="shared" si="0"/>
        <v>103.43434343434345</v>
      </c>
      <c r="M29" s="14">
        <f t="shared" si="7"/>
        <v>102.77777777777779</v>
      </c>
    </row>
    <row r="30" spans="1:13">
      <c r="A30" s="7" t="s">
        <v>2</v>
      </c>
      <c r="B30">
        <v>106.4</v>
      </c>
      <c r="C30" s="12">
        <f t="shared" si="1"/>
        <v>103.06100699918659</v>
      </c>
      <c r="D30" s="12">
        <f t="shared" si="2"/>
        <v>102.47291809569583</v>
      </c>
      <c r="E30" s="12">
        <f t="shared" si="3"/>
        <v>102.32233339439628</v>
      </c>
      <c r="F30" s="12">
        <f t="shared" si="4"/>
        <v>101.64166666666667</v>
      </c>
      <c r="G30" s="12">
        <f t="shared" si="5"/>
        <v>101.675</v>
      </c>
      <c r="H30" s="6">
        <v>27</v>
      </c>
      <c r="I30" s="5">
        <f>2*(H30-$C$108)</f>
        <v>-43</v>
      </c>
      <c r="J30" s="16">
        <f t="shared" si="6"/>
        <v>1.0464716006884682</v>
      </c>
      <c r="K30" s="22">
        <v>1.06</v>
      </c>
      <c r="L30" s="16">
        <f t="shared" si="0"/>
        <v>100.37735849056604</v>
      </c>
      <c r="M30" s="14">
        <f t="shared" si="7"/>
        <v>95.919811320754718</v>
      </c>
    </row>
    <row r="31" spans="1:13">
      <c r="A31" s="7" t="s">
        <v>3</v>
      </c>
      <c r="B31">
        <v>98.3</v>
      </c>
      <c r="C31" s="12">
        <f t="shared" si="1"/>
        <v>101.87075524938994</v>
      </c>
      <c r="D31" s="12">
        <f t="shared" si="2"/>
        <v>102.1718366725429</v>
      </c>
      <c r="E31" s="12">
        <f t="shared" si="3"/>
        <v>102.20946085300625</v>
      </c>
      <c r="F31" s="12">
        <f t="shared" si="4"/>
        <v>102.19999999999999</v>
      </c>
      <c r="G31" s="12">
        <f t="shared" si="5"/>
        <v>101.92083333333332</v>
      </c>
      <c r="H31" s="6">
        <v>28</v>
      </c>
      <c r="I31" s="5">
        <f>2*(H31-$C$108)</f>
        <v>-41</v>
      </c>
      <c r="J31" s="16">
        <f t="shared" si="6"/>
        <v>0.96447406074976505</v>
      </c>
      <c r="K31" s="22">
        <v>0.96</v>
      </c>
      <c r="L31" s="16">
        <f t="shared" si="0"/>
        <v>102.39583333333333</v>
      </c>
      <c r="M31" s="14">
        <f t="shared" si="7"/>
        <v>106.1675347222222</v>
      </c>
    </row>
    <row r="32" spans="1:13">
      <c r="A32" s="7" t="s">
        <v>4</v>
      </c>
      <c r="B32">
        <v>108.4</v>
      </c>
      <c r="C32" s="12">
        <f t="shared" si="1"/>
        <v>103.50306643704246</v>
      </c>
      <c r="D32" s="12">
        <f t="shared" si="2"/>
        <v>102.83745155479268</v>
      </c>
      <c r="E32" s="12">
        <f t="shared" si="3"/>
        <v>102.68045387934608</v>
      </c>
      <c r="F32" s="12">
        <f t="shared" si="4"/>
        <v>102.04166666666667</v>
      </c>
      <c r="G32" s="12">
        <f t="shared" si="5"/>
        <v>102.12083333333334</v>
      </c>
      <c r="H32" s="6">
        <v>29</v>
      </c>
      <c r="I32" s="5">
        <f>2*(H32-$C$108)</f>
        <v>-39</v>
      </c>
      <c r="J32" s="16">
        <f t="shared" si="6"/>
        <v>1.0614876167938307</v>
      </c>
      <c r="K32" s="22">
        <v>1.06</v>
      </c>
      <c r="L32" s="16">
        <f t="shared" si="0"/>
        <v>102.26415094339623</v>
      </c>
      <c r="M32" s="14">
        <f t="shared" si="7"/>
        <v>96.340408805031458</v>
      </c>
    </row>
    <row r="33" spans="1:13">
      <c r="A33" s="7" t="s">
        <v>5</v>
      </c>
      <c r="B33">
        <v>106.2</v>
      </c>
      <c r="C33" s="12">
        <f t="shared" si="1"/>
        <v>104.17729982778185</v>
      </c>
      <c r="D33" s="12">
        <f t="shared" si="2"/>
        <v>103.50737569128727</v>
      </c>
      <c r="E33" s="12">
        <f t="shared" si="3"/>
        <v>103.30064523830197</v>
      </c>
      <c r="F33" s="12">
        <f t="shared" si="4"/>
        <v>102.175</v>
      </c>
      <c r="G33" s="12">
        <f t="shared" si="5"/>
        <v>102.10833333333333</v>
      </c>
      <c r="H33" s="6">
        <v>30</v>
      </c>
      <c r="I33" s="5">
        <f>2*(H33-$C$108)</f>
        <v>-37</v>
      </c>
      <c r="J33" s="16">
        <f t="shared" si="6"/>
        <v>1.0400718191463316</v>
      </c>
      <c r="K33" s="22">
        <v>1.07</v>
      </c>
      <c r="L33" s="16">
        <f t="shared" si="0"/>
        <v>99.252336448598129</v>
      </c>
      <c r="M33" s="14">
        <f t="shared" si="7"/>
        <v>95.428348909657302</v>
      </c>
    </row>
    <row r="34" spans="1:13">
      <c r="A34" s="7" t="s">
        <v>6</v>
      </c>
      <c r="B34">
        <v>110.4</v>
      </c>
      <c r="C34" s="12">
        <f t="shared" si="1"/>
        <v>105.73297487083639</v>
      </c>
      <c r="D34" s="12">
        <f t="shared" si="2"/>
        <v>104.62017528106182</v>
      </c>
      <c r="E34" s="12">
        <f t="shared" si="3"/>
        <v>104.29029277037185</v>
      </c>
      <c r="F34" s="12">
        <f t="shared" si="4"/>
        <v>102.425</v>
      </c>
      <c r="G34" s="12">
        <f t="shared" si="5"/>
        <v>102.3</v>
      </c>
      <c r="H34" s="6">
        <v>31</v>
      </c>
      <c r="I34" s="5">
        <f>2*(H34-$C$108)</f>
        <v>-35</v>
      </c>
      <c r="J34" s="16">
        <f t="shared" si="6"/>
        <v>1.0791788856304987</v>
      </c>
      <c r="K34" s="22">
        <v>1.08</v>
      </c>
      <c r="L34" s="16">
        <f t="shared" si="0"/>
        <v>102.22222222222221</v>
      </c>
      <c r="M34" s="14">
        <f t="shared" si="7"/>
        <v>94.7222222222222</v>
      </c>
    </row>
    <row r="35" spans="1:13">
      <c r="A35" s="7" t="s">
        <v>7</v>
      </c>
      <c r="B35">
        <v>66.400000000000006</v>
      </c>
      <c r="C35" s="12">
        <f t="shared" si="1"/>
        <v>95.899731153127277</v>
      </c>
      <c r="D35" s="12">
        <f t="shared" si="2"/>
        <v>100.25995321709455</v>
      </c>
      <c r="E35" s="12">
        <f t="shared" si="3"/>
        <v>101.26753810541388</v>
      </c>
      <c r="F35" s="12">
        <f t="shared" si="4"/>
        <v>102.39999999999998</v>
      </c>
      <c r="G35" s="12">
        <f t="shared" si="5"/>
        <v>102.41249999999999</v>
      </c>
      <c r="H35" s="6">
        <v>32</v>
      </c>
      <c r="I35" s="5">
        <f>2*(H35-$C$108)</f>
        <v>-33</v>
      </c>
      <c r="J35" s="16">
        <f t="shared" si="6"/>
        <v>0.64835835469303071</v>
      </c>
      <c r="K35" s="22">
        <v>0.66</v>
      </c>
      <c r="L35" s="16">
        <f t="shared" si="0"/>
        <v>100.60606060606061</v>
      </c>
      <c r="M35" s="14">
        <f t="shared" si="7"/>
        <v>155.17045454545453</v>
      </c>
    </row>
    <row r="36" spans="1:13">
      <c r="A36" s="7" t="s">
        <v>8</v>
      </c>
      <c r="B36">
        <v>104.8</v>
      </c>
      <c r="C36" s="12">
        <f t="shared" si="1"/>
        <v>98.124798364845461</v>
      </c>
      <c r="D36" s="12">
        <f t="shared" si="2"/>
        <v>99.192375790970004</v>
      </c>
      <c r="E36" s="12">
        <f t="shared" si="3"/>
        <v>99.71116636958098</v>
      </c>
      <c r="F36" s="12">
        <f t="shared" si="4"/>
        <v>102.39166666666665</v>
      </c>
      <c r="G36" s="12">
        <f t="shared" si="5"/>
        <v>102.39583333333331</v>
      </c>
      <c r="H36" s="6">
        <v>33</v>
      </c>
      <c r="I36" s="5">
        <f>2*(H36-$C$108)</f>
        <v>-31</v>
      </c>
      <c r="J36" s="16">
        <f t="shared" si="6"/>
        <v>1.0234791454730419</v>
      </c>
      <c r="K36" s="22">
        <v>1.04</v>
      </c>
      <c r="L36" s="16">
        <f t="shared" si="0"/>
        <v>100.76923076923076</v>
      </c>
      <c r="M36" s="14">
        <f t="shared" si="7"/>
        <v>98.45753205128203</v>
      </c>
    </row>
    <row r="37" spans="1:13">
      <c r="A37" s="7" t="s">
        <v>9</v>
      </c>
      <c r="B37">
        <v>114.8</v>
      </c>
      <c r="C37" s="12">
        <f t="shared" si="1"/>
        <v>102.2935987736341</v>
      </c>
      <c r="D37" s="12">
        <f t="shared" si="2"/>
        <v>100.74298728230205</v>
      </c>
      <c r="E37" s="12">
        <f t="shared" si="3"/>
        <v>100.48503205412177</v>
      </c>
      <c r="F37" s="12">
        <f t="shared" si="4"/>
        <v>103.84999999999998</v>
      </c>
      <c r="G37" s="12">
        <f t="shared" si="5"/>
        <v>103.12083333333331</v>
      </c>
      <c r="H37" s="6">
        <v>34</v>
      </c>
      <c r="I37" s="5">
        <f>2*(H37-$C$108)</f>
        <v>-29</v>
      </c>
      <c r="J37" s="16">
        <f t="shared" si="6"/>
        <v>1.1132571012970223</v>
      </c>
      <c r="K37" s="22">
        <v>1.06</v>
      </c>
      <c r="L37" s="16">
        <f t="shared" si="0"/>
        <v>108.30188679245282</v>
      </c>
      <c r="M37" s="14">
        <f t="shared" si="7"/>
        <v>97.283805031446519</v>
      </c>
    </row>
    <row r="38" spans="1:13">
      <c r="A38" s="7" t="s">
        <v>10</v>
      </c>
      <c r="B38">
        <v>108.5</v>
      </c>
      <c r="C38" s="12">
        <f t="shared" si="1"/>
        <v>103.84519908022557</v>
      </c>
      <c r="D38" s="12">
        <f t="shared" si="2"/>
        <v>102.2940931812638</v>
      </c>
      <c r="E38" s="12">
        <f t="shared" si="3"/>
        <v>101.84182789947829</v>
      </c>
      <c r="F38" s="12">
        <f t="shared" si="4"/>
        <v>104.11666666666666</v>
      </c>
      <c r="G38" s="12">
        <f t="shared" si="5"/>
        <v>103.98333333333332</v>
      </c>
      <c r="H38" s="6">
        <v>35</v>
      </c>
      <c r="I38" s="5">
        <f>2*(H38-$C$108)</f>
        <v>-27</v>
      </c>
      <c r="J38" s="16">
        <f t="shared" si="6"/>
        <v>1.0434364481487419</v>
      </c>
      <c r="K38" s="22">
        <v>1.06</v>
      </c>
      <c r="L38" s="16">
        <f t="shared" si="0"/>
        <v>102.35849056603773</v>
      </c>
      <c r="M38" s="14">
        <f t="shared" si="7"/>
        <v>98.097484276729546</v>
      </c>
    </row>
    <row r="39" spans="1:13">
      <c r="A39" s="7" t="s">
        <v>11</v>
      </c>
      <c r="B39">
        <v>96.8</v>
      </c>
      <c r="C39" s="12">
        <f t="shared" si="1"/>
        <v>102.08389931016917</v>
      </c>
      <c r="D39" s="12">
        <f t="shared" si="2"/>
        <v>102.18899624571648</v>
      </c>
      <c r="E39" s="12">
        <f t="shared" si="3"/>
        <v>102.10220415915694</v>
      </c>
      <c r="F39" s="12">
        <f t="shared" si="4"/>
        <v>104.79166666666667</v>
      </c>
      <c r="G39" s="12">
        <f t="shared" si="5"/>
        <v>104.45416666666667</v>
      </c>
      <c r="H39" s="6">
        <v>36</v>
      </c>
      <c r="I39" s="5">
        <f>2*(H39-$C$108)</f>
        <v>-25</v>
      </c>
      <c r="J39" s="16">
        <f t="shared" si="6"/>
        <v>0.92672224659938562</v>
      </c>
      <c r="K39" s="22">
        <v>0.95</v>
      </c>
      <c r="L39" s="16">
        <f t="shared" si="0"/>
        <v>101.89473684210526</v>
      </c>
      <c r="M39" s="14">
        <f t="shared" si="7"/>
        <v>109.95175438596492</v>
      </c>
    </row>
    <row r="40" spans="1:13">
      <c r="A40" s="36" t="s">
        <v>0</v>
      </c>
      <c r="B40">
        <v>105.7</v>
      </c>
      <c r="C40" s="12">
        <f t="shared" si="1"/>
        <v>102.98792448262688</v>
      </c>
      <c r="D40" s="12">
        <f t="shared" si="2"/>
        <v>102.58846036417168</v>
      </c>
      <c r="E40" s="12">
        <f t="shared" si="3"/>
        <v>102.466896312918</v>
      </c>
      <c r="F40" s="12">
        <f t="shared" si="4"/>
        <v>105.55</v>
      </c>
      <c r="G40" s="12">
        <f t="shared" si="5"/>
        <v>105.17083333333333</v>
      </c>
      <c r="H40" s="6">
        <v>37</v>
      </c>
      <c r="I40" s="5">
        <f>2*(H40-$C$108)</f>
        <v>-23</v>
      </c>
      <c r="J40" s="16">
        <f t="shared" si="6"/>
        <v>1.0050314963749456</v>
      </c>
      <c r="K40" s="22">
        <v>1.01</v>
      </c>
      <c r="L40" s="16">
        <f t="shared" si="0"/>
        <v>104.65346534653466</v>
      </c>
      <c r="M40" s="14">
        <f t="shared" si="7"/>
        <v>104.12953795379538</v>
      </c>
    </row>
    <row r="41" spans="1:13">
      <c r="A41" s="36" t="s">
        <v>1</v>
      </c>
      <c r="B41">
        <v>102.1</v>
      </c>
      <c r="C41" s="12">
        <f t="shared" si="1"/>
        <v>102.76594336197016</v>
      </c>
      <c r="D41" s="12">
        <f t="shared" si="2"/>
        <v>102.67720186307092</v>
      </c>
      <c r="E41" s="12">
        <f t="shared" si="3"/>
        <v>102.62462547553268</v>
      </c>
      <c r="F41" s="12">
        <f t="shared" si="4"/>
        <v>105.99166666666667</v>
      </c>
      <c r="G41" s="12">
        <f t="shared" si="5"/>
        <v>105.77083333333334</v>
      </c>
      <c r="H41" s="6">
        <v>38</v>
      </c>
      <c r="I41" s="5">
        <f>2*(H41-$C$108)</f>
        <v>-21</v>
      </c>
      <c r="J41" s="16">
        <f t="shared" si="6"/>
        <v>0.9652944652353751</v>
      </c>
      <c r="K41" s="22">
        <v>0.99</v>
      </c>
      <c r="L41" s="16">
        <f t="shared" si="0"/>
        <v>103.13131313131312</v>
      </c>
      <c r="M41" s="14">
        <f t="shared" si="7"/>
        <v>106.83922558922559</v>
      </c>
    </row>
    <row r="42" spans="1:13">
      <c r="A42" s="36" t="s">
        <v>2</v>
      </c>
      <c r="B42">
        <v>106.3</v>
      </c>
      <c r="C42" s="12">
        <f t="shared" si="1"/>
        <v>103.64945752147763</v>
      </c>
      <c r="D42" s="12">
        <f t="shared" si="2"/>
        <v>103.16332969227427</v>
      </c>
      <c r="E42" s="12">
        <f t="shared" si="3"/>
        <v>103.02865363808888</v>
      </c>
      <c r="F42" s="12">
        <f t="shared" si="4"/>
        <v>106.90833333333332</v>
      </c>
      <c r="G42" s="12">
        <f t="shared" si="5"/>
        <v>106.44999999999999</v>
      </c>
      <c r="H42" s="6">
        <v>39</v>
      </c>
      <c r="I42" s="5">
        <f>2*(H42-$C$108)</f>
        <v>-19</v>
      </c>
      <c r="J42" s="16">
        <f t="shared" si="6"/>
        <v>0.99859088774072347</v>
      </c>
      <c r="K42" s="22">
        <v>1.06</v>
      </c>
      <c r="L42" s="16">
        <f t="shared" si="0"/>
        <v>100.28301886792453</v>
      </c>
      <c r="M42" s="14">
        <f t="shared" si="7"/>
        <v>100.42452830188678</v>
      </c>
    </row>
    <row r="43" spans="1:13">
      <c r="A43" s="36" t="s">
        <v>3</v>
      </c>
      <c r="B43">
        <v>115.8</v>
      </c>
      <c r="C43" s="12">
        <f t="shared" si="1"/>
        <v>106.68709314110822</v>
      </c>
      <c r="D43" s="12">
        <f t="shared" si="2"/>
        <v>104.92521141669124</v>
      </c>
      <c r="E43" s="12">
        <f t="shared" si="3"/>
        <v>104.45107197204065</v>
      </c>
      <c r="F43" s="12">
        <f t="shared" si="4"/>
        <v>107.75833333333333</v>
      </c>
      <c r="G43" s="12">
        <f t="shared" si="5"/>
        <v>107.33333333333331</v>
      </c>
      <c r="H43" s="6">
        <v>40</v>
      </c>
      <c r="I43" s="5">
        <f>2*(H43-$C$108)</f>
        <v>-17</v>
      </c>
      <c r="J43" s="16">
        <f t="shared" si="6"/>
        <v>1.0788819875776399</v>
      </c>
      <c r="K43" s="22">
        <v>0.96</v>
      </c>
      <c r="L43" s="16">
        <f t="shared" si="0"/>
        <v>120.625</v>
      </c>
      <c r="M43" s="14">
        <f t="shared" si="7"/>
        <v>111.80555555555554</v>
      </c>
    </row>
    <row r="44" spans="1:13">
      <c r="A44" s="36" t="s">
        <v>4</v>
      </c>
      <c r="B44">
        <v>111.6</v>
      </c>
      <c r="C44" s="12">
        <f t="shared" si="1"/>
        <v>107.91531985583117</v>
      </c>
      <c r="D44" s="12">
        <f t="shared" si="2"/>
        <v>106.42026563626121</v>
      </c>
      <c r="E44" s="12">
        <f t="shared" si="3"/>
        <v>105.92796722020607</v>
      </c>
      <c r="F44" s="12">
        <f t="shared" si="4"/>
        <v>108.34166666666668</v>
      </c>
      <c r="G44" s="12">
        <f t="shared" si="5"/>
        <v>108.05000000000001</v>
      </c>
      <c r="H44" s="6">
        <v>41</v>
      </c>
      <c r="I44" s="5">
        <f>2*(H44-$C$108)</f>
        <v>-15</v>
      </c>
      <c r="J44" s="16">
        <f t="shared" si="6"/>
        <v>1.0328551596483109</v>
      </c>
      <c r="K44" s="22">
        <v>1.06</v>
      </c>
      <c r="L44" s="16">
        <f t="shared" si="0"/>
        <v>105.28301886792451</v>
      </c>
      <c r="M44" s="14">
        <f t="shared" si="7"/>
        <v>101.93396226415094</v>
      </c>
    </row>
    <row r="45" spans="1:13">
      <c r="A45" s="36" t="s">
        <v>5</v>
      </c>
      <c r="B45">
        <v>114.3</v>
      </c>
      <c r="C45" s="12">
        <f t="shared" si="1"/>
        <v>109.51148989187338</v>
      </c>
      <c r="D45" s="12">
        <f t="shared" si="2"/>
        <v>107.9658777640673</v>
      </c>
      <c r="E45" s="12">
        <f t="shared" si="3"/>
        <v>107.456400128102</v>
      </c>
      <c r="F45" s="12">
        <f t="shared" si="4"/>
        <v>109.18333333333334</v>
      </c>
      <c r="G45" s="12">
        <f t="shared" si="5"/>
        <v>108.76250000000002</v>
      </c>
      <c r="H45" s="6">
        <v>42</v>
      </c>
      <c r="I45" s="5">
        <f>2*(H45-$C$108)</f>
        <v>-13</v>
      </c>
      <c r="J45" s="16">
        <f t="shared" si="6"/>
        <v>1.0509136880818295</v>
      </c>
      <c r="K45" s="22">
        <v>1.07</v>
      </c>
      <c r="L45" s="16">
        <f t="shared" si="0"/>
        <v>106.82242990654204</v>
      </c>
      <c r="M45" s="14">
        <f t="shared" si="7"/>
        <v>101.64719626168224</v>
      </c>
    </row>
    <row r="46" spans="1:13">
      <c r="A46" s="36" t="s">
        <v>6</v>
      </c>
      <c r="B46">
        <v>119.5</v>
      </c>
      <c r="C46" s="12">
        <f t="shared" si="1"/>
        <v>112.00861741890503</v>
      </c>
      <c r="D46" s="12">
        <f t="shared" si="2"/>
        <v>109.98724759148617</v>
      </c>
      <c r="E46" s="12">
        <f t="shared" si="3"/>
        <v>109.35453572564013</v>
      </c>
      <c r="F46" s="12">
        <f t="shared" si="4"/>
        <v>109.58333333333333</v>
      </c>
      <c r="G46" s="12">
        <f t="shared" si="5"/>
        <v>109.38333333333333</v>
      </c>
      <c r="H46" s="6">
        <v>43</v>
      </c>
      <c r="I46" s="5">
        <f>2*(H46-$C$108)</f>
        <v>-11</v>
      </c>
      <c r="J46" s="16">
        <f t="shared" si="6"/>
        <v>1.0924881913758953</v>
      </c>
      <c r="K46" s="22">
        <v>1.08</v>
      </c>
      <c r="L46" s="16">
        <f t="shared" si="0"/>
        <v>110.64814814814814</v>
      </c>
      <c r="M46" s="14">
        <f t="shared" si="7"/>
        <v>101.28086419753085</v>
      </c>
    </row>
    <row r="47" spans="1:13">
      <c r="A47" s="36" t="s">
        <v>7</v>
      </c>
      <c r="B47">
        <v>71.7</v>
      </c>
      <c r="C47" s="12">
        <f t="shared" si="1"/>
        <v>101.93146306417877</v>
      </c>
      <c r="D47" s="12">
        <f t="shared" si="2"/>
        <v>105.95935532783247</v>
      </c>
      <c r="E47" s="12">
        <f t="shared" si="3"/>
        <v>106.80815042728439</v>
      </c>
      <c r="F47" s="12">
        <f t="shared" si="4"/>
        <v>110.59166666666668</v>
      </c>
      <c r="G47" s="12">
        <f t="shared" si="5"/>
        <v>110.08750000000001</v>
      </c>
      <c r="H47" s="6">
        <v>44</v>
      </c>
      <c r="I47" s="5">
        <f>2*(H47-$C$108)</f>
        <v>-9</v>
      </c>
      <c r="J47" s="16">
        <f t="shared" si="6"/>
        <v>0.65130010219143863</v>
      </c>
      <c r="K47" s="22">
        <v>0.66</v>
      </c>
      <c r="L47" s="16">
        <f t="shared" si="0"/>
        <v>108.63636363636364</v>
      </c>
      <c r="M47" s="14">
        <f t="shared" si="7"/>
        <v>166.79924242424244</v>
      </c>
    </row>
    <row r="48" spans="1:13">
      <c r="A48" s="36" t="s">
        <v>8</v>
      </c>
      <c r="B48">
        <v>115.8</v>
      </c>
      <c r="C48" s="12">
        <f t="shared" si="1"/>
        <v>105.39859729813408</v>
      </c>
      <c r="D48" s="12">
        <f t="shared" si="2"/>
        <v>105.67897631298328</v>
      </c>
      <c r="E48" s="12">
        <f t="shared" si="3"/>
        <v>105.96126984155855</v>
      </c>
      <c r="F48" s="12">
        <f t="shared" si="4"/>
        <v>111.84166666666665</v>
      </c>
      <c r="G48" s="12">
        <f t="shared" si="5"/>
        <v>111.21666666666667</v>
      </c>
      <c r="H48" s="6">
        <v>45</v>
      </c>
      <c r="I48" s="5">
        <f>2*(H48-$C$108)</f>
        <v>-7</v>
      </c>
      <c r="J48" s="16">
        <f t="shared" si="6"/>
        <v>1.0412108496927919</v>
      </c>
      <c r="K48" s="22">
        <v>1.04</v>
      </c>
      <c r="L48" s="16">
        <f t="shared" si="0"/>
        <v>111.34615384615384</v>
      </c>
      <c r="M48" s="14">
        <f t="shared" si="7"/>
        <v>106.93910256410255</v>
      </c>
    </row>
    <row r="49" spans="1:13">
      <c r="A49" s="36" t="s">
        <v>9</v>
      </c>
      <c r="B49">
        <v>125</v>
      </c>
      <c r="C49" s="12">
        <f t="shared" si="1"/>
        <v>110.29894797360056</v>
      </c>
      <c r="D49" s="12">
        <f t="shared" si="2"/>
        <v>107.98896214329193</v>
      </c>
      <c r="E49" s="12">
        <f t="shared" si="3"/>
        <v>107.48203906785858</v>
      </c>
      <c r="F49" s="12">
        <f t="shared" si="4"/>
        <v>111.55833333333334</v>
      </c>
      <c r="G49" s="12">
        <f t="shared" si="5"/>
        <v>111.69999999999999</v>
      </c>
      <c r="H49" s="6">
        <v>46</v>
      </c>
      <c r="I49" s="5">
        <f>2*(H49-$C$108)</f>
        <v>-5</v>
      </c>
      <c r="J49" s="16">
        <f t="shared" si="6"/>
        <v>1.1190689346463742</v>
      </c>
      <c r="K49" s="22">
        <v>1.06</v>
      </c>
      <c r="L49" s="16">
        <f t="shared" si="0"/>
        <v>117.92452830188678</v>
      </c>
      <c r="M49" s="14">
        <f t="shared" si="7"/>
        <v>105.37735849056602</v>
      </c>
    </row>
    <row r="50" spans="1:13">
      <c r="A50" s="36" t="s">
        <v>10</v>
      </c>
      <c r="B50">
        <v>115.5</v>
      </c>
      <c r="C50" s="12">
        <f t="shared" si="1"/>
        <v>111.59921098020043</v>
      </c>
      <c r="D50" s="12">
        <f t="shared" si="2"/>
        <v>109.79408656174618</v>
      </c>
      <c r="E50" s="12">
        <f t="shared" si="3"/>
        <v>109.21607468827428</v>
      </c>
      <c r="F50" s="12">
        <f t="shared" si="4"/>
        <v>112.075</v>
      </c>
      <c r="G50" s="12">
        <f t="shared" si="5"/>
        <v>111.81666666666666</v>
      </c>
      <c r="H50" s="6">
        <v>47</v>
      </c>
      <c r="I50" s="5">
        <f>2*(H50-$C$108)</f>
        <v>-3</v>
      </c>
      <c r="J50" s="16">
        <f t="shared" si="6"/>
        <v>1.0329408257564465</v>
      </c>
      <c r="K50" s="22">
        <v>1.06</v>
      </c>
      <c r="L50" s="16">
        <f t="shared" si="0"/>
        <v>108.9622641509434</v>
      </c>
      <c r="M50" s="14">
        <f t="shared" si="7"/>
        <v>105.4874213836478</v>
      </c>
    </row>
    <row r="51" spans="1:13">
      <c r="A51" s="36" t="s">
        <v>11</v>
      </c>
      <c r="B51">
        <v>106.9</v>
      </c>
      <c r="C51" s="12">
        <f t="shared" si="1"/>
        <v>110.42440823515031</v>
      </c>
      <c r="D51" s="12">
        <f t="shared" si="2"/>
        <v>110.10924739844825</v>
      </c>
      <c r="E51" s="12">
        <f t="shared" si="3"/>
        <v>109.88595422090475</v>
      </c>
      <c r="F51" s="12">
        <f t="shared" si="4"/>
        <v>112.86666666666666</v>
      </c>
      <c r="G51" s="12">
        <f t="shared" si="5"/>
        <v>112.47083333333333</v>
      </c>
      <c r="H51" s="6">
        <v>48</v>
      </c>
      <c r="I51" s="5">
        <f>2*(H51-$C$108)</f>
        <v>-1</v>
      </c>
      <c r="J51" s="16">
        <f t="shared" si="6"/>
        <v>0.95046864001778242</v>
      </c>
      <c r="K51" s="22">
        <v>0.95</v>
      </c>
      <c r="L51" s="16">
        <f t="shared" si="0"/>
        <v>112.5263157894737</v>
      </c>
      <c r="M51" s="14">
        <f t="shared" si="7"/>
        <v>118.390350877193</v>
      </c>
    </row>
    <row r="52" spans="1:13">
      <c r="A52" s="37" t="s">
        <v>0</v>
      </c>
      <c r="B52">
        <v>110.5</v>
      </c>
      <c r="C52" s="12">
        <f t="shared" si="1"/>
        <v>110.44330617636274</v>
      </c>
      <c r="D52" s="12">
        <f t="shared" si="2"/>
        <v>110.27627678740549</v>
      </c>
      <c r="E52" s="12">
        <f t="shared" si="3"/>
        <v>110.17869614578031</v>
      </c>
      <c r="F52" s="12">
        <f t="shared" si="4"/>
        <v>113.44999999999999</v>
      </c>
      <c r="G52" s="12">
        <f t="shared" si="5"/>
        <v>113.15833333333333</v>
      </c>
      <c r="H52" s="6">
        <v>49</v>
      </c>
      <c r="I52" s="5">
        <f>2*(H52-$C$108)</f>
        <v>1</v>
      </c>
      <c r="J52" s="16">
        <f t="shared" si="6"/>
        <v>0.97650784299285665</v>
      </c>
      <c r="K52" s="22">
        <v>1.01</v>
      </c>
      <c r="L52" s="16">
        <f t="shared" si="0"/>
        <v>109.4059405940594</v>
      </c>
      <c r="M52" s="14">
        <f t="shared" si="7"/>
        <v>112.03795379537954</v>
      </c>
    </row>
    <row r="53" spans="1:13">
      <c r="A53" s="37" t="s">
        <v>1</v>
      </c>
      <c r="B53">
        <v>114.2</v>
      </c>
      <c r="C53" s="12">
        <f t="shared" si="1"/>
        <v>111.38247963227205</v>
      </c>
      <c r="D53" s="12">
        <f t="shared" si="2"/>
        <v>110.82937820983878</v>
      </c>
      <c r="E53" s="12">
        <f t="shared" si="3"/>
        <v>110.66670769382416</v>
      </c>
      <c r="F53" s="12">
        <f t="shared" si="4"/>
        <v>113.85000000000001</v>
      </c>
      <c r="G53" s="12">
        <f t="shared" si="5"/>
        <v>113.65</v>
      </c>
      <c r="H53" s="6">
        <v>50</v>
      </c>
      <c r="I53" s="5">
        <f>2*(H53-$C$108)</f>
        <v>3</v>
      </c>
      <c r="J53" s="16">
        <f t="shared" si="6"/>
        <v>1.0048394192696877</v>
      </c>
      <c r="K53" s="22">
        <v>0.99</v>
      </c>
      <c r="L53" s="16">
        <f t="shared" si="0"/>
        <v>115.35353535353536</v>
      </c>
      <c r="M53" s="14">
        <f t="shared" si="7"/>
        <v>114.79797979797981</v>
      </c>
    </row>
    <row r="54" spans="1:13">
      <c r="A54" s="37" t="s">
        <v>2</v>
      </c>
      <c r="B54">
        <v>121.3</v>
      </c>
      <c r="C54" s="12">
        <f t="shared" si="1"/>
        <v>113.86185972420404</v>
      </c>
      <c r="D54" s="12">
        <f t="shared" si="2"/>
        <v>112.34561896702141</v>
      </c>
      <c r="E54" s="12">
        <f t="shared" si="3"/>
        <v>111.92589114872209</v>
      </c>
      <c r="F54" s="12">
        <f t="shared" si="4"/>
        <v>114.19999999999999</v>
      </c>
      <c r="G54" s="12">
        <f t="shared" si="5"/>
        <v>114.02500000000001</v>
      </c>
      <c r="H54" s="6">
        <v>51</v>
      </c>
      <c r="I54" s="5">
        <f>2*(H54-$C$108)</f>
        <v>5</v>
      </c>
      <c r="J54" s="16">
        <f t="shared" si="6"/>
        <v>1.0638017978513483</v>
      </c>
      <c r="K54" s="22">
        <v>1.06</v>
      </c>
      <c r="L54" s="16">
        <f t="shared" si="0"/>
        <v>114.43396226415094</v>
      </c>
      <c r="M54" s="14">
        <f t="shared" si="7"/>
        <v>107.57075471698113</v>
      </c>
    </row>
    <row r="55" spans="1:13">
      <c r="A55" s="37" t="s">
        <v>3</v>
      </c>
      <c r="B55">
        <v>112.4</v>
      </c>
      <c r="C55" s="12">
        <f t="shared" si="1"/>
        <v>113.49639479315303</v>
      </c>
      <c r="D55" s="12">
        <f t="shared" si="2"/>
        <v>112.92100688008722</v>
      </c>
      <c r="E55" s="12">
        <f t="shared" si="3"/>
        <v>112.67222794724593</v>
      </c>
      <c r="F55" s="12">
        <f t="shared" si="4"/>
        <v>114.09166666666665</v>
      </c>
      <c r="G55" s="12">
        <f t="shared" si="5"/>
        <v>114.14583333333331</v>
      </c>
      <c r="H55" s="6">
        <v>52</v>
      </c>
      <c r="I55" s="5">
        <f>2*(H55-$C$108)</f>
        <v>7</v>
      </c>
      <c r="J55" s="16">
        <f t="shared" si="6"/>
        <v>0.98470523818215028</v>
      </c>
      <c r="K55" s="22">
        <v>0.96</v>
      </c>
      <c r="L55" s="16">
        <f t="shared" si="0"/>
        <v>117.08333333333334</v>
      </c>
      <c r="M55" s="14">
        <f t="shared" si="7"/>
        <v>118.9019097222222</v>
      </c>
    </row>
    <row r="56" spans="1:13">
      <c r="A56" s="37" t="s">
        <v>4</v>
      </c>
      <c r="B56">
        <v>117.8</v>
      </c>
      <c r="C56" s="12">
        <f t="shared" si="1"/>
        <v>114.57229609486477</v>
      </c>
      <c r="D56" s="12">
        <f t="shared" si="2"/>
        <v>113.74665148747599</v>
      </c>
      <c r="E56" s="12">
        <f t="shared" si="3"/>
        <v>113.47804560241846</v>
      </c>
      <c r="F56" s="12">
        <f t="shared" si="4"/>
        <v>114.63333333333334</v>
      </c>
      <c r="G56" s="12">
        <f t="shared" si="5"/>
        <v>114.3625</v>
      </c>
      <c r="H56" s="6">
        <v>53</v>
      </c>
      <c r="I56" s="5">
        <f>2*(H56-$C$108)</f>
        <v>9</v>
      </c>
      <c r="J56" s="16">
        <f t="shared" si="6"/>
        <v>1.0300579298283965</v>
      </c>
      <c r="K56" s="22">
        <v>1.06</v>
      </c>
      <c r="L56" s="16">
        <f t="shared" si="0"/>
        <v>111.1320754716981</v>
      </c>
      <c r="M56" s="14">
        <f t="shared" si="7"/>
        <v>107.88915094339622</v>
      </c>
    </row>
    <row r="57" spans="1:13">
      <c r="A57" s="37" t="s">
        <v>5</v>
      </c>
      <c r="B57">
        <v>123.8</v>
      </c>
      <c r="C57" s="12">
        <f t="shared" si="1"/>
        <v>116.87922207114858</v>
      </c>
      <c r="D57" s="12">
        <f t="shared" si="2"/>
        <v>115.31293677931228</v>
      </c>
      <c r="E57" s="12">
        <f t="shared" si="3"/>
        <v>114.85421398508882</v>
      </c>
      <c r="F57" s="12">
        <f t="shared" si="4"/>
        <v>115.05833333333332</v>
      </c>
      <c r="G57" s="12">
        <f t="shared" si="5"/>
        <v>114.84583333333333</v>
      </c>
      <c r="H57" s="6">
        <v>54</v>
      </c>
      <c r="I57" s="5">
        <f>2*(H57-$C$108)</f>
        <v>11</v>
      </c>
      <c r="J57" s="16">
        <f t="shared" si="6"/>
        <v>1.0779668396038167</v>
      </c>
      <c r="K57" s="22">
        <v>1.07</v>
      </c>
      <c r="L57" s="16">
        <f t="shared" si="0"/>
        <v>115.70093457943925</v>
      </c>
      <c r="M57" s="14">
        <f t="shared" si="7"/>
        <v>107.33255451713396</v>
      </c>
    </row>
    <row r="58" spans="1:13">
      <c r="A58" s="37" t="s">
        <v>6</v>
      </c>
      <c r="B58">
        <v>126.5</v>
      </c>
      <c r="C58" s="12">
        <f t="shared" si="1"/>
        <v>119.28441655336144</v>
      </c>
      <c r="D58" s="12">
        <f t="shared" si="2"/>
        <v>117.29867666633686</v>
      </c>
      <c r="E58" s="12">
        <f t="shared" si="3"/>
        <v>116.68756099602484</v>
      </c>
      <c r="F58" s="12">
        <f t="shared" si="4"/>
        <v>115.25833333333334</v>
      </c>
      <c r="G58" s="12">
        <f t="shared" si="5"/>
        <v>115.15833333333333</v>
      </c>
      <c r="H58" s="6">
        <v>55</v>
      </c>
      <c r="I58" s="5">
        <f>2*(H58-$C$108)</f>
        <v>13</v>
      </c>
      <c r="J58" s="16">
        <f t="shared" si="6"/>
        <v>1.0984875895506188</v>
      </c>
      <c r="K58" s="22">
        <v>1.08</v>
      </c>
      <c r="L58" s="16">
        <f t="shared" si="0"/>
        <v>117.12962962962962</v>
      </c>
      <c r="M58" s="14">
        <f t="shared" si="7"/>
        <v>106.62808641975307</v>
      </c>
    </row>
    <row r="59" spans="1:13">
      <c r="A59" s="37" t="s">
        <v>7</v>
      </c>
      <c r="B59">
        <v>76.5</v>
      </c>
      <c r="C59" s="12">
        <f t="shared" si="1"/>
        <v>108.58831241502108</v>
      </c>
      <c r="D59" s="12">
        <f t="shared" si="2"/>
        <v>112.94349454067897</v>
      </c>
      <c r="E59" s="12">
        <f t="shared" si="3"/>
        <v>113.87951115451544</v>
      </c>
      <c r="F59" s="12">
        <f t="shared" si="4"/>
        <v>115.23333333333335</v>
      </c>
      <c r="G59" s="12">
        <f t="shared" si="5"/>
        <v>115.24583333333334</v>
      </c>
      <c r="H59" s="6">
        <v>56</v>
      </c>
      <c r="I59" s="5">
        <f>2*(H59-$C$108)</f>
        <v>15</v>
      </c>
      <c r="J59" s="16">
        <f t="shared" si="6"/>
        <v>0.66379840196681006</v>
      </c>
      <c r="K59" s="22">
        <v>0.66</v>
      </c>
      <c r="L59" s="16">
        <f t="shared" si="0"/>
        <v>115.90909090909091</v>
      </c>
      <c r="M59" s="14">
        <f t="shared" si="7"/>
        <v>174.61489898989899</v>
      </c>
    </row>
    <row r="60" spans="1:13">
      <c r="A60" s="37" t="s">
        <v>8</v>
      </c>
      <c r="B60">
        <v>120</v>
      </c>
      <c r="C60" s="12">
        <f t="shared" si="1"/>
        <v>111.44123431126582</v>
      </c>
      <c r="D60" s="12">
        <f t="shared" si="2"/>
        <v>112.19236442597239</v>
      </c>
      <c r="E60" s="12">
        <f t="shared" si="3"/>
        <v>112.61415110810815</v>
      </c>
      <c r="F60" s="12">
        <f t="shared" si="4"/>
        <v>115.43333333333335</v>
      </c>
      <c r="G60" s="12">
        <f t="shared" si="5"/>
        <v>115.33333333333334</v>
      </c>
      <c r="H60" s="6">
        <v>57</v>
      </c>
      <c r="I60" s="5">
        <f>2*(H60-$C$108)</f>
        <v>17</v>
      </c>
      <c r="J60" s="16">
        <f t="shared" si="6"/>
        <v>1.0404624277456647</v>
      </c>
      <c r="K60" s="22">
        <v>1.04</v>
      </c>
      <c r="L60" s="16">
        <f t="shared" si="0"/>
        <v>115.38461538461539</v>
      </c>
      <c r="M60" s="14">
        <f t="shared" si="7"/>
        <v>110.89743589743591</v>
      </c>
    </row>
    <row r="61" spans="1:13">
      <c r="A61" s="37" t="s">
        <v>9</v>
      </c>
      <c r="B61">
        <v>123.7</v>
      </c>
      <c r="C61" s="12">
        <f t="shared" si="1"/>
        <v>114.50592573344936</v>
      </c>
      <c r="D61" s="12">
        <f t="shared" si="2"/>
        <v>113.34914507971087</v>
      </c>
      <c r="E61" s="12">
        <f t="shared" si="3"/>
        <v>113.16539658681019</v>
      </c>
      <c r="F61" s="12">
        <f t="shared" si="4"/>
        <v>115.64166666666669</v>
      </c>
      <c r="G61" s="12">
        <f t="shared" si="5"/>
        <v>115.53750000000002</v>
      </c>
      <c r="H61" s="6">
        <v>58</v>
      </c>
      <c r="I61" s="5">
        <f>2*(H61-$C$108)</f>
        <v>19</v>
      </c>
      <c r="J61" s="16">
        <f t="shared" si="6"/>
        <v>1.0706480579898299</v>
      </c>
      <c r="K61" s="22">
        <v>1.06</v>
      </c>
      <c r="L61" s="16">
        <f t="shared" si="0"/>
        <v>116.69811320754717</v>
      </c>
      <c r="M61" s="14">
        <f t="shared" si="7"/>
        <v>108.99764150943399</v>
      </c>
    </row>
    <row r="62" spans="1:13">
      <c r="A62" s="37" t="s">
        <v>10</v>
      </c>
      <c r="B62">
        <v>122</v>
      </c>
      <c r="C62" s="12">
        <f t="shared" si="1"/>
        <v>116.37944430008702</v>
      </c>
      <c r="D62" s="12">
        <f t="shared" si="2"/>
        <v>114.86429468989894</v>
      </c>
      <c r="E62" s="12">
        <f t="shared" si="3"/>
        <v>114.43957016412675</v>
      </c>
      <c r="F62" s="12">
        <f t="shared" si="4"/>
        <v>115.95</v>
      </c>
      <c r="G62" s="12">
        <f t="shared" si="5"/>
        <v>115.79583333333335</v>
      </c>
      <c r="H62" s="6">
        <v>59</v>
      </c>
      <c r="I62" s="5">
        <f>2*(H62-$C$108)</f>
        <v>21</v>
      </c>
      <c r="J62" s="16">
        <f t="shared" si="6"/>
        <v>1.0535784966356012</v>
      </c>
      <c r="K62" s="22">
        <v>1.06</v>
      </c>
      <c r="L62" s="16">
        <f t="shared" si="0"/>
        <v>115.0943396226415</v>
      </c>
      <c r="M62" s="14">
        <f t="shared" si="7"/>
        <v>109.24135220125788</v>
      </c>
    </row>
    <row r="63" spans="1:13">
      <c r="A63" s="37" t="s">
        <v>11</v>
      </c>
      <c r="B63">
        <v>112</v>
      </c>
      <c r="C63" s="12">
        <f t="shared" si="1"/>
        <v>115.28458322506526</v>
      </c>
      <c r="D63" s="12">
        <f t="shared" si="2"/>
        <v>115.0744389574821</v>
      </c>
      <c r="E63" s="12">
        <f t="shared" si="3"/>
        <v>114.91572175914325</v>
      </c>
      <c r="F63" s="12">
        <f t="shared" si="4"/>
        <v>116.14166666666667</v>
      </c>
      <c r="G63" s="12">
        <f t="shared" si="5"/>
        <v>116.04583333333333</v>
      </c>
      <c r="H63" s="6">
        <v>60</v>
      </c>
      <c r="I63" s="5">
        <f>2*(H63-$C$108)</f>
        <v>23</v>
      </c>
      <c r="J63" s="16">
        <f t="shared" si="6"/>
        <v>0.96513590176295283</v>
      </c>
      <c r="K63" s="22">
        <v>0.95</v>
      </c>
      <c r="L63" s="16">
        <f t="shared" si="0"/>
        <v>117.89473684210527</v>
      </c>
      <c r="M63" s="14">
        <f t="shared" si="7"/>
        <v>122.15350877192984</v>
      </c>
    </row>
    <row r="64" spans="1:13">
      <c r="A64" s="9" t="s">
        <v>0</v>
      </c>
      <c r="B64">
        <v>112.9</v>
      </c>
      <c r="C64" s="12">
        <f t="shared" si="1"/>
        <v>114.68843741879894</v>
      </c>
      <c r="D64" s="12">
        <f t="shared" si="2"/>
        <v>114.88143818814052</v>
      </c>
      <c r="E64" s="12">
        <f t="shared" si="3"/>
        <v>114.8900090808912</v>
      </c>
      <c r="F64" s="12">
        <f t="shared" si="4"/>
        <v>116.29166666666664</v>
      </c>
      <c r="G64" s="12">
        <f t="shared" si="5"/>
        <v>116.21666666666665</v>
      </c>
      <c r="H64" s="6">
        <v>61</v>
      </c>
      <c r="I64" s="5">
        <f>2*(H64-$C$108)</f>
        <v>25</v>
      </c>
      <c r="J64" s="16">
        <f t="shared" si="6"/>
        <v>0.97146135092499653</v>
      </c>
      <c r="K64" s="22">
        <v>1.01</v>
      </c>
      <c r="L64" s="16">
        <f t="shared" si="0"/>
        <v>111.78217821782178</v>
      </c>
      <c r="M64" s="14">
        <f t="shared" si="7"/>
        <v>115.06600660066005</v>
      </c>
    </row>
    <row r="65" spans="1:13">
      <c r="A65" s="9" t="s">
        <v>1</v>
      </c>
      <c r="B65">
        <v>113.9</v>
      </c>
      <c r="C65" s="12">
        <f t="shared" si="1"/>
        <v>114.49132806409921</v>
      </c>
      <c r="D65" s="12">
        <f t="shared" si="2"/>
        <v>114.68638312611986</v>
      </c>
      <c r="E65" s="12">
        <f t="shared" si="3"/>
        <v>114.73728961481271</v>
      </c>
      <c r="F65" s="12">
        <f t="shared" si="4"/>
        <v>116.67499999999997</v>
      </c>
      <c r="G65" s="12">
        <f t="shared" si="5"/>
        <v>116.48333333333331</v>
      </c>
      <c r="H65" s="6">
        <v>62</v>
      </c>
      <c r="I65" s="5">
        <f>2*(H65-$C$108)</f>
        <v>27</v>
      </c>
      <c r="J65" s="16">
        <f t="shared" si="6"/>
        <v>0.97782229217341565</v>
      </c>
      <c r="K65" s="22">
        <v>0.99</v>
      </c>
      <c r="L65" s="16">
        <f t="shared" si="0"/>
        <v>115.05050505050505</v>
      </c>
      <c r="M65" s="14">
        <f t="shared" si="7"/>
        <v>117.65993265993262</v>
      </c>
    </row>
    <row r="66" spans="1:13">
      <c r="A66" s="9" t="s">
        <v>2</v>
      </c>
      <c r="B66">
        <v>123.7</v>
      </c>
      <c r="C66" s="12">
        <f t="shared" si="1"/>
        <v>116.7934960480744</v>
      </c>
      <c r="D66" s="12">
        <f t="shared" si="2"/>
        <v>115.73993958709713</v>
      </c>
      <c r="E66" s="12">
        <f t="shared" si="3"/>
        <v>115.48927709402602</v>
      </c>
      <c r="F66" s="12">
        <f t="shared" si="4"/>
        <v>117.09166666666665</v>
      </c>
      <c r="G66" s="12">
        <f t="shared" si="5"/>
        <v>116.88333333333331</v>
      </c>
      <c r="H66" s="6">
        <v>63</v>
      </c>
      <c r="I66" s="5">
        <f>2*(H66-$C$108)</f>
        <v>29</v>
      </c>
      <c r="J66" s="16">
        <f t="shared" si="6"/>
        <v>1.0583202623698846</v>
      </c>
      <c r="K66" s="22">
        <v>1.06</v>
      </c>
      <c r="L66" s="16">
        <f t="shared" si="0"/>
        <v>116.69811320754717</v>
      </c>
      <c r="M66" s="14">
        <f t="shared" si="7"/>
        <v>110.26729559748426</v>
      </c>
    </row>
    <row r="67" spans="1:13">
      <c r="A67" s="9" t="s">
        <v>3</v>
      </c>
      <c r="B67">
        <v>114.9</v>
      </c>
      <c r="C67" s="12">
        <f t="shared" si="1"/>
        <v>116.32012203605581</v>
      </c>
      <c r="D67" s="12">
        <f t="shared" si="2"/>
        <v>116.03003081157647</v>
      </c>
      <c r="E67" s="12">
        <f t="shared" si="3"/>
        <v>115.89484238218886</v>
      </c>
      <c r="F67" s="12">
        <f t="shared" si="4"/>
        <v>117.06666666666666</v>
      </c>
      <c r="G67" s="12">
        <f t="shared" si="5"/>
        <v>117.07916666666665</v>
      </c>
      <c r="H67" s="6">
        <v>64</v>
      </c>
      <c r="I67" s="5">
        <f>2*(H67-$C$108)</f>
        <v>31</v>
      </c>
      <c r="J67" s="16">
        <f t="shared" si="6"/>
        <v>0.98138723797999949</v>
      </c>
      <c r="K67" s="22">
        <v>0.96</v>
      </c>
      <c r="L67" s="16">
        <f t="shared" si="0"/>
        <v>119.68750000000001</v>
      </c>
      <c r="M67" s="14">
        <f t="shared" si="7"/>
        <v>121.95746527777777</v>
      </c>
    </row>
    <row r="68" spans="1:13">
      <c r="A68" s="9" t="s">
        <v>4</v>
      </c>
      <c r="B68">
        <v>121.5</v>
      </c>
      <c r="C68" s="12">
        <f t="shared" si="1"/>
        <v>117.61509152704186</v>
      </c>
      <c r="D68" s="12">
        <f t="shared" si="2"/>
        <v>116.82256116930915</v>
      </c>
      <c r="E68" s="12">
        <f t="shared" si="3"/>
        <v>116.59063147252908</v>
      </c>
      <c r="F68" s="12">
        <f t="shared" si="4"/>
        <v>117.60000000000001</v>
      </c>
      <c r="G68" s="12">
        <f t="shared" si="5"/>
        <v>117.33333333333334</v>
      </c>
      <c r="H68" s="6">
        <v>65</v>
      </c>
      <c r="I68" s="5">
        <f>2*(H68-$C$108)</f>
        <v>33</v>
      </c>
      <c r="J68" s="16">
        <f t="shared" si="6"/>
        <v>1.0355113636363635</v>
      </c>
      <c r="K68" s="22">
        <v>1.06</v>
      </c>
      <c r="L68" s="16">
        <f t="shared" si="0"/>
        <v>114.62264150943396</v>
      </c>
      <c r="M68" s="14">
        <f t="shared" si="7"/>
        <v>110.69182389937107</v>
      </c>
    </row>
    <row r="69" spans="1:13">
      <c r="A69" s="9" t="s">
        <v>5</v>
      </c>
      <c r="B69">
        <v>126.1</v>
      </c>
      <c r="C69" s="12">
        <f t="shared" si="1"/>
        <v>119.73631864528139</v>
      </c>
      <c r="D69" s="12">
        <f t="shared" si="2"/>
        <v>118.27943990729527</v>
      </c>
      <c r="E69" s="12">
        <f t="shared" si="3"/>
        <v>117.85723779860372</v>
      </c>
      <c r="F69" s="12">
        <f t="shared" si="4"/>
        <v>118.10000000000002</v>
      </c>
      <c r="G69" s="12">
        <f t="shared" si="5"/>
        <v>117.85000000000002</v>
      </c>
      <c r="H69" s="6">
        <v>66</v>
      </c>
      <c r="I69" s="5">
        <f>2*(H69-$C$108)</f>
        <v>35</v>
      </c>
      <c r="J69" s="16">
        <f t="shared" si="6"/>
        <v>1.0700042426813743</v>
      </c>
      <c r="K69" s="22">
        <v>1.07</v>
      </c>
      <c r="L69" s="16">
        <f t="shared" ref="L69:L99" si="8">B69/K69</f>
        <v>117.85046728971962</v>
      </c>
      <c r="M69" s="14">
        <f t="shared" si="7"/>
        <v>110.14018691588788</v>
      </c>
    </row>
    <row r="70" spans="1:13">
      <c r="A70" s="9" t="s">
        <v>6</v>
      </c>
      <c r="B70">
        <v>128.30000000000001</v>
      </c>
      <c r="C70" s="12">
        <f t="shared" ref="C70:C99" si="9">0.25*B70+(1-0.25)*C69</f>
        <v>121.87723898396105</v>
      </c>
      <c r="D70" s="12">
        <f t="shared" ref="D70:D99" si="10">0.5*C70+(1-0.5)*D69</f>
        <v>120.07833944562816</v>
      </c>
      <c r="E70" s="12">
        <f t="shared" ref="E70:E98" si="11">0.75*D70+(1-0.75)*E69</f>
        <v>119.52306403387205</v>
      </c>
      <c r="F70" s="12">
        <f t="shared" si="4"/>
        <v>118.56666666666668</v>
      </c>
      <c r="G70" s="12">
        <f t="shared" si="5"/>
        <v>118.33333333333334</v>
      </c>
      <c r="H70" s="6">
        <v>67</v>
      </c>
      <c r="I70" s="5">
        <f>2*(H70-$C$108)</f>
        <v>37</v>
      </c>
      <c r="J70" s="16">
        <f t="shared" si="6"/>
        <v>1.0842253521126761</v>
      </c>
      <c r="K70" s="22">
        <v>1.08</v>
      </c>
      <c r="L70" s="16">
        <f t="shared" si="8"/>
        <v>118.7962962962963</v>
      </c>
      <c r="M70" s="14">
        <f t="shared" si="7"/>
        <v>109.5679012345679</v>
      </c>
    </row>
    <row r="71" spans="1:13">
      <c r="A71" s="9" t="s">
        <v>7</v>
      </c>
      <c r="B71">
        <v>81.099999999999994</v>
      </c>
      <c r="C71" s="12">
        <f t="shared" si="9"/>
        <v>111.6829292379708</v>
      </c>
      <c r="D71" s="12">
        <f t="shared" si="10"/>
        <v>115.88063434179948</v>
      </c>
      <c r="E71" s="12">
        <f t="shared" si="11"/>
        <v>116.79124176481763</v>
      </c>
      <c r="F71" s="12">
        <f t="shared" si="4"/>
        <v>119.50833333333334</v>
      </c>
      <c r="G71" s="12">
        <f t="shared" si="5"/>
        <v>119.03750000000001</v>
      </c>
      <c r="H71" s="6">
        <v>68</v>
      </c>
      <c r="I71" s="5">
        <f>2*(H71-$C$108)</f>
        <v>39</v>
      </c>
      <c r="J71" s="16">
        <f t="shared" si="6"/>
        <v>0.6812979103223773</v>
      </c>
      <c r="K71" s="22">
        <v>0.66</v>
      </c>
      <c r="L71" s="16">
        <f t="shared" si="8"/>
        <v>122.87878787878786</v>
      </c>
      <c r="M71" s="14">
        <f t="shared" si="7"/>
        <v>180.3598484848485</v>
      </c>
    </row>
    <row r="72" spans="1:13">
      <c r="A72" s="9" t="s">
        <v>8</v>
      </c>
      <c r="B72">
        <v>125</v>
      </c>
      <c r="C72" s="12">
        <f t="shared" si="9"/>
        <v>115.01219692847809</v>
      </c>
      <c r="D72" s="12">
        <f t="shared" si="10"/>
        <v>115.44641563513878</v>
      </c>
      <c r="E72" s="12">
        <f t="shared" si="11"/>
        <v>115.78262216755849</v>
      </c>
      <c r="F72" s="12">
        <f t="shared" si="4"/>
        <v>120.55833333333332</v>
      </c>
      <c r="G72" s="12">
        <f t="shared" si="5"/>
        <v>120.03333333333333</v>
      </c>
      <c r="H72" s="6">
        <v>69</v>
      </c>
      <c r="I72" s="5">
        <f>2*(H72-$C$108)</f>
        <v>41</v>
      </c>
      <c r="J72" s="16">
        <f t="shared" si="6"/>
        <v>1.041377395168009</v>
      </c>
      <c r="K72" s="22">
        <v>1.04</v>
      </c>
      <c r="L72" s="16">
        <f t="shared" si="8"/>
        <v>120.19230769230769</v>
      </c>
      <c r="M72" s="14">
        <f t="shared" si="7"/>
        <v>115.41666666666666</v>
      </c>
    </row>
    <row r="73" spans="1:13">
      <c r="A73" s="9" t="s">
        <v>9</v>
      </c>
      <c r="B73">
        <v>123.4</v>
      </c>
      <c r="C73" s="12">
        <f t="shared" si="9"/>
        <v>117.10914769635858</v>
      </c>
      <c r="D73" s="12">
        <f t="shared" si="10"/>
        <v>116.27778166574868</v>
      </c>
      <c r="E73" s="12">
        <f t="shared" si="11"/>
        <v>116.15399179120114</v>
      </c>
      <c r="F73" s="12">
        <f t="shared" si="4"/>
        <v>120.55</v>
      </c>
      <c r="G73" s="12">
        <f t="shared" si="5"/>
        <v>120.55416666666666</v>
      </c>
      <c r="H73" s="6">
        <v>70</v>
      </c>
      <c r="I73" s="5">
        <f>2*(H73-$C$108)</f>
        <v>43</v>
      </c>
      <c r="J73" s="16">
        <f t="shared" si="6"/>
        <v>1.0236062627449627</v>
      </c>
      <c r="K73" s="22">
        <v>1.06</v>
      </c>
      <c r="L73" s="16">
        <f t="shared" si="8"/>
        <v>116.41509433962264</v>
      </c>
      <c r="M73" s="14">
        <f t="shared" si="7"/>
        <v>113.73034591194967</v>
      </c>
    </row>
    <row r="74" spans="1:13">
      <c r="A74" s="9" t="s">
        <v>10</v>
      </c>
      <c r="B74">
        <v>128.4</v>
      </c>
      <c r="C74" s="12">
        <f t="shared" si="9"/>
        <v>119.93186077226892</v>
      </c>
      <c r="D74" s="12">
        <f t="shared" si="10"/>
        <v>118.1048212190088</v>
      </c>
      <c r="E74" s="12">
        <f t="shared" si="11"/>
        <v>117.61711386205688</v>
      </c>
      <c r="F74" s="12">
        <f t="shared" ref="F74:F91" si="12">(B69+B70+B71+B72+B73+B74+B75+B76+B77+B78+B79+B80)/12</f>
        <v>121.51666666666665</v>
      </c>
      <c r="G74" s="12">
        <f t="shared" si="5"/>
        <v>121.03333333333333</v>
      </c>
      <c r="H74" s="6">
        <v>71</v>
      </c>
      <c r="I74" s="5">
        <f>2*(H74-$C$108)</f>
        <v>45</v>
      </c>
      <c r="J74" s="16">
        <f t="shared" si="6"/>
        <v>1.0608647755439273</v>
      </c>
      <c r="K74" s="22">
        <v>1.06</v>
      </c>
      <c r="L74" s="16">
        <f t="shared" si="8"/>
        <v>121.13207547169812</v>
      </c>
      <c r="M74" s="14">
        <f t="shared" si="7"/>
        <v>114.18238993710692</v>
      </c>
    </row>
    <row r="75" spans="1:13">
      <c r="A75" s="9" t="s">
        <v>11</v>
      </c>
      <c r="B75">
        <v>118</v>
      </c>
      <c r="C75" s="12">
        <f t="shared" si="9"/>
        <v>119.44889557920169</v>
      </c>
      <c r="D75" s="12">
        <f t="shared" si="10"/>
        <v>118.77685839910524</v>
      </c>
      <c r="E75" s="12">
        <f t="shared" si="11"/>
        <v>118.48692226484316</v>
      </c>
      <c r="F75" s="12">
        <f t="shared" si="12"/>
        <v>122.06666666666666</v>
      </c>
      <c r="G75" s="12">
        <f t="shared" ref="G75:G93" si="13">(F74+F75)/2</f>
        <v>121.79166666666666</v>
      </c>
      <c r="H75" s="6">
        <v>72</v>
      </c>
      <c r="I75" s="5">
        <f>2*(H75-$C$108)</f>
        <v>47</v>
      </c>
      <c r="J75" s="16">
        <f t="shared" ref="J75:J93" si="14">B75/G75</f>
        <v>0.96886760177899423</v>
      </c>
      <c r="K75" s="22">
        <v>0.95</v>
      </c>
      <c r="L75" s="16">
        <f t="shared" si="8"/>
        <v>124.21052631578948</v>
      </c>
      <c r="M75" s="14">
        <f t="shared" ref="M75:M99" si="15">L75/J75</f>
        <v>128.2017543859649</v>
      </c>
    </row>
    <row r="76" spans="1:13">
      <c r="A76" s="38" t="s">
        <v>0</v>
      </c>
      <c r="B76">
        <v>118.5</v>
      </c>
      <c r="C76" s="12">
        <f t="shared" si="9"/>
        <v>119.21167168440127</v>
      </c>
      <c r="D76" s="12">
        <f t="shared" si="10"/>
        <v>118.99426504175325</v>
      </c>
      <c r="E76" s="12">
        <f t="shared" si="11"/>
        <v>118.86742934752573</v>
      </c>
      <c r="F76" s="12">
        <f t="shared" si="12"/>
        <v>122.08333333333333</v>
      </c>
      <c r="G76" s="12">
        <f t="shared" si="13"/>
        <v>122.07499999999999</v>
      </c>
      <c r="H76" s="6">
        <v>73</v>
      </c>
      <c r="I76" s="5">
        <f>2*(H76-$C$108)</f>
        <v>49</v>
      </c>
      <c r="J76" s="16">
        <f t="shared" si="14"/>
        <v>0.97071472455457719</v>
      </c>
      <c r="K76" s="22">
        <v>1.01</v>
      </c>
      <c r="L76" s="16">
        <f t="shared" si="8"/>
        <v>117.32673267326733</v>
      </c>
      <c r="M76" s="14">
        <f t="shared" si="15"/>
        <v>120.86633663366335</v>
      </c>
    </row>
    <row r="77" spans="1:13">
      <c r="A77" s="38" t="s">
        <v>1</v>
      </c>
      <c r="B77">
        <v>125.2</v>
      </c>
      <c r="C77" s="12">
        <f t="shared" si="9"/>
        <v>120.70875376330095</v>
      </c>
      <c r="D77" s="12">
        <f t="shared" si="10"/>
        <v>119.8515094025271</v>
      </c>
      <c r="E77" s="12">
        <f t="shared" si="11"/>
        <v>119.60548938877676</v>
      </c>
      <c r="F77" s="12">
        <f t="shared" si="12"/>
        <v>122.56666666666666</v>
      </c>
      <c r="G77" s="12">
        <f t="shared" si="13"/>
        <v>122.32499999999999</v>
      </c>
      <c r="H77" s="6">
        <v>74</v>
      </c>
      <c r="I77" s="5">
        <f>2*(H77-$C$108)</f>
        <v>51</v>
      </c>
      <c r="J77" s="16">
        <f t="shared" si="14"/>
        <v>1.0235029634171267</v>
      </c>
      <c r="K77" s="22">
        <v>0.99</v>
      </c>
      <c r="L77" s="16">
        <f t="shared" si="8"/>
        <v>126.46464646464646</v>
      </c>
      <c r="M77" s="14">
        <f t="shared" si="15"/>
        <v>123.56060606060605</v>
      </c>
    </row>
    <row r="78" spans="1:13">
      <c r="A78" s="38" t="s">
        <v>2</v>
      </c>
      <c r="B78">
        <v>136.30000000000001</v>
      </c>
      <c r="C78" s="12">
        <f t="shared" si="9"/>
        <v>124.60656532247572</v>
      </c>
      <c r="D78" s="12">
        <f t="shared" si="10"/>
        <v>122.2290373625014</v>
      </c>
      <c r="E78" s="12">
        <f t="shared" si="11"/>
        <v>121.57315036907025</v>
      </c>
      <c r="F78" s="12">
        <f t="shared" si="12"/>
        <v>122.57499999999999</v>
      </c>
      <c r="G78" s="12">
        <f t="shared" si="13"/>
        <v>122.57083333333333</v>
      </c>
      <c r="H78" s="6">
        <v>75</v>
      </c>
      <c r="I78" s="5">
        <f>2*(H78-$C$108)</f>
        <v>53</v>
      </c>
      <c r="J78" s="16">
        <f t="shared" si="14"/>
        <v>1.1120100622089271</v>
      </c>
      <c r="K78" s="22">
        <v>1.06</v>
      </c>
      <c r="L78" s="16">
        <f t="shared" si="8"/>
        <v>128.58490566037736</v>
      </c>
      <c r="M78" s="14">
        <f t="shared" si="15"/>
        <v>115.6328616352201</v>
      </c>
    </row>
    <row r="79" spans="1:13">
      <c r="A79" s="38" t="s">
        <v>3</v>
      </c>
      <c r="B79">
        <v>114.8</v>
      </c>
      <c r="C79" s="12">
        <f t="shared" si="9"/>
        <v>122.15492399185679</v>
      </c>
      <c r="D79" s="12">
        <f t="shared" si="10"/>
        <v>122.19198067717909</v>
      </c>
      <c r="E79" s="12">
        <f t="shared" si="11"/>
        <v>122.03727310015188</v>
      </c>
      <c r="F79" s="12">
        <f t="shared" si="12"/>
        <v>122.85833333333333</v>
      </c>
      <c r="G79" s="12">
        <f t="shared" si="13"/>
        <v>122.71666666666667</v>
      </c>
      <c r="H79" s="6">
        <v>76</v>
      </c>
      <c r="I79" s="5">
        <f>2*(H79-$C$108)</f>
        <v>55</v>
      </c>
      <c r="J79" s="16">
        <f t="shared" si="14"/>
        <v>0.93548825207116659</v>
      </c>
      <c r="K79" s="22">
        <v>0.96</v>
      </c>
      <c r="L79" s="16">
        <f t="shared" si="8"/>
        <v>119.58333333333333</v>
      </c>
      <c r="M79" s="14">
        <f t="shared" si="15"/>
        <v>127.82986111111111</v>
      </c>
    </row>
    <row r="80" spans="1:13">
      <c r="A80" s="38" t="s">
        <v>4</v>
      </c>
      <c r="B80">
        <v>133.1</v>
      </c>
      <c r="C80" s="12">
        <f t="shared" si="9"/>
        <v>124.89119299389259</v>
      </c>
      <c r="D80" s="12">
        <f t="shared" si="10"/>
        <v>123.54158683553584</v>
      </c>
      <c r="E80" s="12">
        <f t="shared" si="11"/>
        <v>123.16550840168985</v>
      </c>
      <c r="F80" s="12">
        <f t="shared" si="12"/>
        <v>123.26666666666665</v>
      </c>
      <c r="G80" s="12">
        <f t="shared" si="13"/>
        <v>123.0625</v>
      </c>
      <c r="H80" s="6">
        <v>77</v>
      </c>
      <c r="I80" s="5">
        <f>2*(H80-$C$108)</f>
        <v>57</v>
      </c>
      <c r="J80" s="16">
        <f t="shared" si="14"/>
        <v>1.0815642458100558</v>
      </c>
      <c r="K80" s="22">
        <v>1.06</v>
      </c>
      <c r="L80" s="16">
        <f t="shared" si="8"/>
        <v>125.56603773584905</v>
      </c>
      <c r="M80" s="14">
        <f t="shared" si="15"/>
        <v>116.09669811320755</v>
      </c>
    </row>
    <row r="81" spans="1:13">
      <c r="A81" s="38" t="s">
        <v>5</v>
      </c>
      <c r="B81">
        <v>132.69999999999999</v>
      </c>
      <c r="C81" s="12">
        <f t="shared" si="9"/>
        <v>126.84339474541945</v>
      </c>
      <c r="D81" s="12">
        <f t="shared" si="10"/>
        <v>125.19249079047765</v>
      </c>
      <c r="E81" s="12">
        <f t="shared" si="11"/>
        <v>124.6857451932807</v>
      </c>
      <c r="F81" s="12">
        <f t="shared" si="12"/>
        <v>122.79166666666664</v>
      </c>
      <c r="G81" s="12">
        <f t="shared" si="13"/>
        <v>123.02916666666664</v>
      </c>
      <c r="H81" s="6">
        <v>78</v>
      </c>
      <c r="I81" s="5">
        <f>2*(H81-$C$108)</f>
        <v>59</v>
      </c>
      <c r="J81" s="16">
        <f t="shared" si="14"/>
        <v>1.0786060216073425</v>
      </c>
      <c r="K81" s="22">
        <v>1.07</v>
      </c>
      <c r="L81" s="16">
        <f t="shared" si="8"/>
        <v>124.01869158878503</v>
      </c>
      <c r="M81" s="14">
        <f t="shared" si="15"/>
        <v>114.98052959501555</v>
      </c>
    </row>
    <row r="82" spans="1:13">
      <c r="A82" s="38" t="s">
        <v>6</v>
      </c>
      <c r="B82">
        <v>128.5</v>
      </c>
      <c r="C82" s="12">
        <f t="shared" si="9"/>
        <v>127.25754605906458</v>
      </c>
      <c r="D82" s="12">
        <f t="shared" si="10"/>
        <v>126.22501842477112</v>
      </c>
      <c r="E82" s="12">
        <f t="shared" si="11"/>
        <v>125.84020011689852</v>
      </c>
      <c r="F82" s="12">
        <f t="shared" si="12"/>
        <v>123.26666666666665</v>
      </c>
      <c r="G82" s="12">
        <f t="shared" si="13"/>
        <v>123.02916666666664</v>
      </c>
      <c r="H82" s="6">
        <v>79</v>
      </c>
      <c r="I82" s="5">
        <f>2*(H82-$C$108)</f>
        <v>61</v>
      </c>
      <c r="J82" s="16">
        <f t="shared" si="14"/>
        <v>1.044467775256545</v>
      </c>
      <c r="K82" s="22">
        <v>1.08</v>
      </c>
      <c r="L82" s="16">
        <f t="shared" si="8"/>
        <v>118.98148148148147</v>
      </c>
      <c r="M82" s="14">
        <f t="shared" si="15"/>
        <v>113.91589506172836</v>
      </c>
    </row>
    <row r="83" spans="1:13">
      <c r="A83" s="38" t="s">
        <v>7</v>
      </c>
      <c r="B83">
        <v>86.9</v>
      </c>
      <c r="C83" s="12">
        <f t="shared" si="9"/>
        <v>117.16815954429845</v>
      </c>
      <c r="D83" s="12">
        <f t="shared" si="10"/>
        <v>121.69658898453478</v>
      </c>
      <c r="E83" s="12">
        <f t="shared" si="11"/>
        <v>122.73249176762572</v>
      </c>
      <c r="F83" s="12">
        <f t="shared" si="12"/>
        <v>122.90833333333335</v>
      </c>
      <c r="G83" s="12">
        <f t="shared" si="13"/>
        <v>123.08750000000001</v>
      </c>
      <c r="H83" s="6">
        <v>80</v>
      </c>
      <c r="I83" s="5">
        <f>2*(H83-$C$108)</f>
        <v>63</v>
      </c>
      <c r="J83" s="16">
        <f t="shared" si="14"/>
        <v>0.706001827967909</v>
      </c>
      <c r="K83" s="22">
        <v>0.66</v>
      </c>
      <c r="L83" s="16">
        <f t="shared" si="8"/>
        <v>131.66666666666666</v>
      </c>
      <c r="M83" s="14">
        <f t="shared" si="15"/>
        <v>186.4962121212121</v>
      </c>
    </row>
    <row r="84" spans="1:13">
      <c r="A84" s="38" t="s">
        <v>8</v>
      </c>
      <c r="B84">
        <v>125.1</v>
      </c>
      <c r="C84" s="12">
        <f t="shared" si="9"/>
        <v>119.15111965822385</v>
      </c>
      <c r="D84" s="12">
        <f t="shared" si="10"/>
        <v>120.42385432137931</v>
      </c>
      <c r="E84" s="12">
        <f t="shared" si="11"/>
        <v>121.00101368294092</v>
      </c>
      <c r="F84" s="12">
        <f t="shared" si="12"/>
        <v>122.50000000000001</v>
      </c>
      <c r="G84" s="12">
        <f t="shared" si="13"/>
        <v>122.70416666666668</v>
      </c>
      <c r="H84" s="6">
        <v>81</v>
      </c>
      <c r="I84" s="5">
        <f>2*(H84-$C$108)</f>
        <v>65</v>
      </c>
      <c r="J84" s="16">
        <f t="shared" si="14"/>
        <v>1.0195252809942612</v>
      </c>
      <c r="K84" s="22">
        <v>1.04</v>
      </c>
      <c r="L84" s="16">
        <f t="shared" si="8"/>
        <v>120.28846153846153</v>
      </c>
      <c r="M84" s="14">
        <f t="shared" si="15"/>
        <v>117.98477564102565</v>
      </c>
    </row>
    <row r="85" spans="1:13">
      <c r="A85" s="38" t="s">
        <v>9</v>
      </c>
      <c r="B85">
        <v>126.8</v>
      </c>
      <c r="C85" s="12">
        <f t="shared" si="9"/>
        <v>121.0633397436679</v>
      </c>
      <c r="D85" s="12">
        <f t="shared" si="10"/>
        <v>120.74359703252361</v>
      </c>
      <c r="E85" s="12">
        <f t="shared" si="11"/>
        <v>120.80795119512794</v>
      </c>
      <c r="F85" s="12">
        <f t="shared" si="12"/>
        <v>122.46666666666668</v>
      </c>
      <c r="G85" s="12">
        <f t="shared" si="13"/>
        <v>122.48333333333335</v>
      </c>
      <c r="H85" s="6">
        <v>82</v>
      </c>
      <c r="I85" s="5">
        <f>2*(H85-$C$108)</f>
        <v>67</v>
      </c>
      <c r="J85" s="16">
        <f t="shared" si="14"/>
        <v>1.0352428901891413</v>
      </c>
      <c r="K85" s="22">
        <v>1.06</v>
      </c>
      <c r="L85" s="16">
        <f t="shared" si="8"/>
        <v>119.62264150943395</v>
      </c>
      <c r="M85" s="14">
        <f t="shared" si="15"/>
        <v>115.5503144654088</v>
      </c>
    </row>
    <row r="86" spans="1:13">
      <c r="A86" s="38" t="s">
        <v>10</v>
      </c>
      <c r="B86">
        <v>133.30000000000001</v>
      </c>
      <c r="C86" s="12">
        <f t="shared" si="9"/>
        <v>124.12250480775093</v>
      </c>
      <c r="D86" s="12">
        <f t="shared" si="10"/>
        <v>122.43305092013728</v>
      </c>
      <c r="E86" s="12">
        <f t="shared" si="11"/>
        <v>122.02677598888495</v>
      </c>
      <c r="F86" s="12">
        <f t="shared" si="12"/>
        <v>122.36666666666669</v>
      </c>
      <c r="G86" s="12">
        <f t="shared" si="13"/>
        <v>122.41666666666669</v>
      </c>
      <c r="H86" s="6">
        <v>83</v>
      </c>
      <c r="I86" s="5">
        <f>2*(H86-$C$108)</f>
        <v>69</v>
      </c>
      <c r="J86" s="16">
        <f t="shared" si="14"/>
        <v>1.0889040163376447</v>
      </c>
      <c r="K86" s="22">
        <v>1.06</v>
      </c>
      <c r="L86" s="16">
        <f t="shared" si="8"/>
        <v>125.75471698113208</v>
      </c>
      <c r="M86" s="14">
        <f t="shared" si="15"/>
        <v>115.4874213836478</v>
      </c>
    </row>
    <row r="87" spans="1:13">
      <c r="A87" s="38" t="s">
        <v>11</v>
      </c>
      <c r="B87">
        <v>112.3</v>
      </c>
      <c r="C87" s="12">
        <f t="shared" si="9"/>
        <v>121.1668786058132</v>
      </c>
      <c r="D87" s="12">
        <f t="shared" si="10"/>
        <v>121.79996476297524</v>
      </c>
      <c r="E87" s="12">
        <f t="shared" si="11"/>
        <v>121.85666756945265</v>
      </c>
      <c r="F87" s="12">
        <f t="shared" si="12"/>
        <v>122.0916666666667</v>
      </c>
      <c r="G87" s="12">
        <f t="shared" si="13"/>
        <v>122.22916666666669</v>
      </c>
      <c r="H87" s="6">
        <v>84</v>
      </c>
      <c r="I87" s="5">
        <f>2*(H87-$C$108)</f>
        <v>71</v>
      </c>
      <c r="J87" s="16">
        <f t="shared" si="14"/>
        <v>0.91876597920572678</v>
      </c>
      <c r="K87" s="22">
        <v>0.95</v>
      </c>
      <c r="L87" s="16">
        <f t="shared" si="8"/>
        <v>118.21052631578948</v>
      </c>
      <c r="M87" s="14">
        <f t="shared" si="15"/>
        <v>128.66228070175441</v>
      </c>
    </row>
    <row r="88" spans="1:13">
      <c r="A88" s="39" t="s">
        <v>0</v>
      </c>
      <c r="B88">
        <v>124.2</v>
      </c>
      <c r="C88" s="12">
        <f t="shared" si="9"/>
        <v>121.9251589543599</v>
      </c>
      <c r="D88" s="12">
        <f t="shared" si="10"/>
        <v>121.86256185866756</v>
      </c>
      <c r="E88" s="12">
        <f t="shared" si="11"/>
        <v>121.86108828636384</v>
      </c>
      <c r="F88" s="12">
        <f t="shared" si="12"/>
        <v>122.05000000000001</v>
      </c>
      <c r="G88" s="12">
        <f t="shared" si="13"/>
        <v>122.07083333333335</v>
      </c>
      <c r="H88" s="6">
        <v>85</v>
      </c>
      <c r="I88" s="5">
        <f>2*(H88-$C$108)</f>
        <v>73</v>
      </c>
      <c r="J88" s="16">
        <f t="shared" si="14"/>
        <v>1.0174420589138817</v>
      </c>
      <c r="K88" s="22">
        <v>1.01</v>
      </c>
      <c r="L88" s="16">
        <f t="shared" si="8"/>
        <v>122.97029702970298</v>
      </c>
      <c r="M88" s="14">
        <f t="shared" si="15"/>
        <v>120.86221122112215</v>
      </c>
    </row>
    <row r="89" spans="1:13">
      <c r="A89" s="39" t="s">
        <v>1</v>
      </c>
      <c r="B89">
        <v>120.9</v>
      </c>
      <c r="C89" s="12">
        <f t="shared" si="9"/>
        <v>121.66886921576992</v>
      </c>
      <c r="D89" s="12">
        <f t="shared" si="10"/>
        <v>121.76571553721874</v>
      </c>
      <c r="E89" s="12">
        <f t="shared" si="11"/>
        <v>121.78955872450501</v>
      </c>
      <c r="F89" s="12">
        <f t="shared" si="12"/>
        <v>122.28333333333335</v>
      </c>
      <c r="G89" s="12">
        <f t="shared" si="13"/>
        <v>122.16666666666669</v>
      </c>
      <c r="H89" s="6">
        <v>86</v>
      </c>
      <c r="I89" s="5">
        <f>2*(H89-$C$108)</f>
        <v>75</v>
      </c>
      <c r="J89" s="16">
        <f t="shared" si="14"/>
        <v>0.98963165075034099</v>
      </c>
      <c r="K89" s="22">
        <v>0.99</v>
      </c>
      <c r="L89" s="16">
        <f t="shared" si="8"/>
        <v>122.12121212121212</v>
      </c>
      <c r="M89" s="14">
        <f t="shared" si="15"/>
        <v>123.40067340067341</v>
      </c>
    </row>
    <row r="90" spans="1:13">
      <c r="A90" s="39" t="s">
        <v>2</v>
      </c>
      <c r="B90">
        <v>131.4</v>
      </c>
      <c r="C90" s="12">
        <f t="shared" si="9"/>
        <v>124.10165191182745</v>
      </c>
      <c r="D90" s="12">
        <f t="shared" si="10"/>
        <v>122.93368372452309</v>
      </c>
      <c r="E90" s="12">
        <f t="shared" si="11"/>
        <v>122.64765247451857</v>
      </c>
      <c r="F90" s="12">
        <f t="shared" si="12"/>
        <v>121.98333333333333</v>
      </c>
      <c r="G90" s="12">
        <f t="shared" si="13"/>
        <v>122.13333333333334</v>
      </c>
      <c r="H90" s="6">
        <v>87</v>
      </c>
      <c r="I90" s="5">
        <f>2*(H90-$C$108)</f>
        <v>77</v>
      </c>
      <c r="J90" s="16">
        <f t="shared" si="14"/>
        <v>1.0758733624454149</v>
      </c>
      <c r="K90" s="22">
        <v>1.06</v>
      </c>
      <c r="L90" s="16">
        <f t="shared" si="8"/>
        <v>123.9622641509434</v>
      </c>
      <c r="M90" s="14">
        <f t="shared" si="15"/>
        <v>115.22012578616352</v>
      </c>
    </row>
    <row r="91" spans="1:13">
      <c r="A91" s="39" t="s">
        <v>3</v>
      </c>
      <c r="B91">
        <v>114.4</v>
      </c>
      <c r="C91" s="12">
        <f t="shared" si="9"/>
        <v>121.67623893387059</v>
      </c>
      <c r="D91" s="12">
        <f t="shared" si="10"/>
        <v>122.30496132919684</v>
      </c>
      <c r="E91" s="12">
        <f t="shared" si="11"/>
        <v>122.39063411552728</v>
      </c>
      <c r="F91" s="12">
        <f t="shared" si="12"/>
        <v>122.3</v>
      </c>
      <c r="G91" s="12">
        <f t="shared" si="13"/>
        <v>122.14166666666667</v>
      </c>
      <c r="H91" s="6">
        <v>88</v>
      </c>
      <c r="I91" s="5">
        <f>2*(H91-$C$108)</f>
        <v>79</v>
      </c>
      <c r="J91" s="16">
        <f t="shared" si="14"/>
        <v>0.93661731595824527</v>
      </c>
      <c r="K91" s="22">
        <v>0.96</v>
      </c>
      <c r="L91" s="16">
        <f t="shared" si="8"/>
        <v>119.16666666666667</v>
      </c>
      <c r="M91" s="14">
        <f t="shared" si="15"/>
        <v>127.23090277777777</v>
      </c>
    </row>
    <row r="92" spans="1:13">
      <c r="A92" s="39" t="s">
        <v>4</v>
      </c>
      <c r="B92">
        <v>131.9</v>
      </c>
      <c r="C92" s="12">
        <f t="shared" si="9"/>
        <v>124.23217920040295</v>
      </c>
      <c r="D92" s="12">
        <f t="shared" si="10"/>
        <v>123.26857026479991</v>
      </c>
      <c r="E92" s="12">
        <f t="shared" si="11"/>
        <v>123.04908622748175</v>
      </c>
      <c r="F92" s="12">
        <f>(B87+B88+B89+B90+B91+B92+B93+B94+B95+B96+B97+B98)/12</f>
        <v>121.77499999999998</v>
      </c>
      <c r="G92" s="12">
        <f t="shared" si="13"/>
        <v>122.03749999999999</v>
      </c>
      <c r="H92" s="6">
        <v>89</v>
      </c>
      <c r="I92" s="5">
        <f>2*(H92-$C$108)</f>
        <v>81</v>
      </c>
      <c r="J92" s="16">
        <f t="shared" si="14"/>
        <v>1.0808153231588653</v>
      </c>
      <c r="K92" s="22">
        <v>1.06</v>
      </c>
      <c r="L92" s="16">
        <f t="shared" si="8"/>
        <v>124.43396226415095</v>
      </c>
      <c r="M92" s="14">
        <f t="shared" si="15"/>
        <v>115.12971698113206</v>
      </c>
    </row>
    <row r="93" spans="1:13">
      <c r="A93" s="39" t="s">
        <v>5</v>
      </c>
      <c r="B93">
        <v>129.4</v>
      </c>
      <c r="C93" s="12">
        <f t="shared" si="9"/>
        <v>125.52413440030222</v>
      </c>
      <c r="D93" s="12">
        <f t="shared" si="10"/>
        <v>124.39635233255106</v>
      </c>
      <c r="E93" s="12">
        <f t="shared" si="11"/>
        <v>124.05953580628375</v>
      </c>
      <c r="F93" s="12">
        <f>(B88+B89+B90+B91+B92+B93+B94+B95+B96+B97+B98+B99)/12</f>
        <v>121.36666666666667</v>
      </c>
      <c r="G93" s="12">
        <f t="shared" si="13"/>
        <v>121.57083333333333</v>
      </c>
      <c r="H93" s="6">
        <v>90</v>
      </c>
      <c r="I93" s="5">
        <f>2*(H93-$C$108)</f>
        <v>83</v>
      </c>
      <c r="J93" s="16">
        <f t="shared" si="14"/>
        <v>1.0644000411282861</v>
      </c>
      <c r="K93" s="22">
        <v>1.07</v>
      </c>
      <c r="L93" s="16">
        <f t="shared" si="8"/>
        <v>120.93457943925233</v>
      </c>
      <c r="M93" s="14">
        <f t="shared" si="15"/>
        <v>113.61760124610591</v>
      </c>
    </row>
    <row r="94" spans="1:13">
      <c r="A94" s="39" t="s">
        <v>6</v>
      </c>
      <c r="B94">
        <v>128</v>
      </c>
      <c r="C94" s="12">
        <f t="shared" si="9"/>
        <v>126.14310080022666</v>
      </c>
      <c r="D94" s="12">
        <f t="shared" si="10"/>
        <v>125.26972656638887</v>
      </c>
      <c r="E94" s="12">
        <f t="shared" si="11"/>
        <v>124.9671788763626</v>
      </c>
      <c r="F94" s="5"/>
      <c r="G94" s="5"/>
      <c r="H94" s="6">
        <v>91</v>
      </c>
      <c r="I94" s="5">
        <f>2*(H94-$C$108)</f>
        <v>85</v>
      </c>
      <c r="J94" s="6"/>
      <c r="K94" s="22">
        <v>1.08</v>
      </c>
      <c r="L94" s="16">
        <f t="shared" si="8"/>
        <v>118.5185185185185</v>
      </c>
    </row>
    <row r="95" spans="1:13">
      <c r="A95" s="39" t="s">
        <v>7</v>
      </c>
      <c r="B95">
        <v>89.7</v>
      </c>
      <c r="C95" s="12">
        <f t="shared" si="9"/>
        <v>117.03232560017</v>
      </c>
      <c r="D95" s="12">
        <f t="shared" si="10"/>
        <v>121.15102608327943</v>
      </c>
      <c r="E95" s="12">
        <f t="shared" si="11"/>
        <v>122.10506428155023</v>
      </c>
      <c r="F95" s="5"/>
      <c r="G95" s="5"/>
      <c r="H95" s="6">
        <v>92</v>
      </c>
      <c r="I95" s="5">
        <f>2*(H95-$C$108)</f>
        <v>87</v>
      </c>
      <c r="J95" s="6"/>
      <c r="K95" s="22">
        <v>0.66</v>
      </c>
      <c r="L95" s="16">
        <f t="shared" si="8"/>
        <v>135.90909090909091</v>
      </c>
    </row>
    <row r="96" spans="1:13">
      <c r="A96" s="39" t="s">
        <v>8</v>
      </c>
      <c r="B96">
        <v>121.5</v>
      </c>
      <c r="C96" s="12">
        <f t="shared" si="9"/>
        <v>118.1492442001275</v>
      </c>
      <c r="D96" s="12">
        <f t="shared" si="10"/>
        <v>119.65013514170346</v>
      </c>
      <c r="E96" s="12">
        <f t="shared" si="11"/>
        <v>120.26386742666514</v>
      </c>
      <c r="F96" s="5"/>
      <c r="G96" s="5"/>
      <c r="H96" s="6">
        <v>93</v>
      </c>
      <c r="I96" s="5">
        <f>2*(H96-$C$108)</f>
        <v>89</v>
      </c>
      <c r="J96" s="6"/>
      <c r="K96" s="22">
        <v>1.04</v>
      </c>
      <c r="L96" s="16">
        <f t="shared" si="8"/>
        <v>116.82692307692307</v>
      </c>
    </row>
    <row r="97" spans="1:12">
      <c r="A97" s="39" t="s">
        <v>9</v>
      </c>
      <c r="B97">
        <v>130.6</v>
      </c>
      <c r="C97" s="12">
        <f t="shared" si="9"/>
        <v>121.26193315009562</v>
      </c>
      <c r="D97" s="12">
        <f t="shared" si="10"/>
        <v>120.45603414589954</v>
      </c>
      <c r="E97" s="12">
        <f t="shared" si="11"/>
        <v>120.40799246609095</v>
      </c>
      <c r="F97" s="5"/>
      <c r="G97" s="5"/>
      <c r="H97" s="6">
        <v>94</v>
      </c>
      <c r="I97" s="5">
        <f>2*(H97-$C$108)</f>
        <v>91</v>
      </c>
      <c r="J97" s="6"/>
      <c r="K97" s="22">
        <v>1.06</v>
      </c>
      <c r="L97" s="16">
        <f t="shared" si="8"/>
        <v>123.20754716981131</v>
      </c>
    </row>
    <row r="98" spans="1:12">
      <c r="A98" s="39" t="s">
        <v>10</v>
      </c>
      <c r="B98">
        <v>127</v>
      </c>
      <c r="C98" s="12">
        <f t="shared" si="9"/>
        <v>122.69644986257171</v>
      </c>
      <c r="D98" s="12">
        <f t="shared" si="10"/>
        <v>121.57624200423562</v>
      </c>
      <c r="E98" s="12">
        <f t="shared" si="11"/>
        <v>121.28417961969946</v>
      </c>
      <c r="F98" s="5"/>
      <c r="G98" s="5"/>
      <c r="H98" s="6">
        <v>95</v>
      </c>
      <c r="I98" s="5">
        <f>2*(H98-$C$108)</f>
        <v>93</v>
      </c>
      <c r="J98" s="6"/>
      <c r="K98" s="22">
        <v>1.06</v>
      </c>
      <c r="L98" s="16">
        <f t="shared" si="8"/>
        <v>119.81132075471697</v>
      </c>
    </row>
    <row r="99" spans="1:12">
      <c r="A99" s="40" t="s">
        <v>11</v>
      </c>
      <c r="B99" s="10">
        <v>107.4</v>
      </c>
      <c r="C99" s="13">
        <f t="shared" si="9"/>
        <v>118.87233739692877</v>
      </c>
      <c r="D99" s="13">
        <f t="shared" si="10"/>
        <v>120.2242897005822</v>
      </c>
      <c r="E99" s="13">
        <f>0.75*D99+(1-0.75)*E98</f>
        <v>120.48926218036152</v>
      </c>
      <c r="F99" s="10"/>
      <c r="G99" s="10"/>
      <c r="H99" s="11">
        <v>96</v>
      </c>
      <c r="I99" s="10">
        <f>2*(H99-$C$108)</f>
        <v>95</v>
      </c>
      <c r="J99" s="11"/>
      <c r="K99" s="23">
        <v>0.95</v>
      </c>
      <c r="L99" s="24">
        <f t="shared" si="8"/>
        <v>113.05263157894738</v>
      </c>
    </row>
    <row r="100" spans="1:12">
      <c r="A100" s="42" t="s">
        <v>0</v>
      </c>
      <c r="B100" s="43"/>
      <c r="C100" s="43"/>
      <c r="D100" s="43"/>
      <c r="E100" s="43"/>
      <c r="F100" s="43"/>
      <c r="G100" s="43"/>
      <c r="H100" s="44">
        <v>97</v>
      </c>
      <c r="I100" s="43">
        <f>2*(H100-$C$108)</f>
        <v>97</v>
      </c>
      <c r="J100" s="43"/>
      <c r="K100" s="43"/>
      <c r="L100" s="43"/>
    </row>
    <row r="101" spans="1:12">
      <c r="A101" s="42" t="s">
        <v>1</v>
      </c>
      <c r="B101" s="43"/>
      <c r="C101" s="43"/>
      <c r="D101" s="43"/>
      <c r="E101" s="43"/>
      <c r="F101" s="43"/>
      <c r="G101" s="43"/>
      <c r="H101" s="44">
        <v>98</v>
      </c>
      <c r="I101" s="43">
        <f>2*(H101-$C$108)</f>
        <v>99</v>
      </c>
      <c r="J101" s="43"/>
      <c r="K101" s="43"/>
      <c r="L101" s="43"/>
    </row>
    <row r="102" spans="1:12">
      <c r="A102" s="42" t="s">
        <v>2</v>
      </c>
      <c r="B102" s="43"/>
      <c r="C102" s="43"/>
      <c r="D102" s="43"/>
      <c r="E102" s="43"/>
      <c r="F102" s="43"/>
      <c r="G102" s="43"/>
      <c r="H102" s="44">
        <v>99</v>
      </c>
      <c r="I102" s="43">
        <f>2*(H102-$C$108)</f>
        <v>101</v>
      </c>
      <c r="J102" s="43"/>
      <c r="K102" s="43"/>
      <c r="L102" s="43"/>
    </row>
    <row r="103" spans="1:12">
      <c r="H103" s="5"/>
    </row>
    <row r="106" spans="1:12">
      <c r="A106" s="1" t="s">
        <v>47</v>
      </c>
      <c r="B106" s="1" t="s">
        <v>48</v>
      </c>
    </row>
    <row r="107" spans="1:12">
      <c r="G107" s="27" t="s">
        <v>26</v>
      </c>
      <c r="H107" s="28"/>
      <c r="I107" s="29"/>
    </row>
    <row r="108" spans="1:12">
      <c r="A108" t="s">
        <v>19</v>
      </c>
      <c r="C108">
        <f>AVERAGE(H4:H99)</f>
        <v>48.5</v>
      </c>
      <c r="G108" s="17" t="s">
        <v>27</v>
      </c>
      <c r="H108" s="14">
        <f>MEDIAN(J16,J28,J40,J52,J64,J76,J88)</f>
        <v>1.0050314963749456</v>
      </c>
      <c r="I108" s="18"/>
    </row>
    <row r="109" spans="1:12">
      <c r="G109" s="17" t="s">
        <v>28</v>
      </c>
      <c r="H109" s="14">
        <f>MEDIAN(J17,J29,J41,J53,J65,J77,J89)</f>
        <v>0.98963165075034099</v>
      </c>
      <c r="I109" s="18"/>
    </row>
    <row r="110" spans="1:12">
      <c r="G110" s="17" t="s">
        <v>29</v>
      </c>
      <c r="H110" s="14">
        <f>MEDIAN(J18,J30,J42,J54,J66,J78,J90)</f>
        <v>1.0638017978513483</v>
      </c>
      <c r="I110" s="18"/>
    </row>
    <row r="111" spans="1:12">
      <c r="B111" t="s">
        <v>49</v>
      </c>
      <c r="G111" s="17" t="s">
        <v>30</v>
      </c>
      <c r="H111" s="14">
        <f>MEDIAN(J19,J31,J43,J55,J67,J79,J91)</f>
        <v>0.96447406074976505</v>
      </c>
      <c r="I111" s="18"/>
    </row>
    <row r="112" spans="1:12">
      <c r="G112" s="17" t="s">
        <v>31</v>
      </c>
      <c r="H112" s="14">
        <f>MEDIAN(J20,J32,J44,J56,J68,J80,J92)</f>
        <v>1.0614876167938307</v>
      </c>
      <c r="I112" s="18"/>
    </row>
    <row r="113" spans="2:9">
      <c r="B113" t="s">
        <v>22</v>
      </c>
      <c r="G113" s="17" t="s">
        <v>32</v>
      </c>
      <c r="H113" s="14">
        <f>MEDIAN(J21,J33,J45,J57,J69,J81,J93)</f>
        <v>1.0700042426813743</v>
      </c>
      <c r="I113" s="18"/>
    </row>
    <row r="114" spans="2:9">
      <c r="B114" t="s">
        <v>50</v>
      </c>
      <c r="C114" s="26">
        <v>127.29</v>
      </c>
      <c r="D114" t="s">
        <v>44</v>
      </c>
      <c r="G114" s="17" t="s">
        <v>33</v>
      </c>
      <c r="H114" s="14">
        <f>MEDIAN(J10,J22,J34,J46,J58,J70,J82)</f>
        <v>1.0791788856304987</v>
      </c>
      <c r="I114" s="18"/>
    </row>
    <row r="115" spans="2:9">
      <c r="G115" s="17" t="s">
        <v>34</v>
      </c>
      <c r="H115" s="14">
        <f>MEDIAN(J11,J23,J35,J47,J59,J71,J83)</f>
        <v>0.65566859875967731</v>
      </c>
      <c r="I115" s="18"/>
    </row>
    <row r="116" spans="2:9">
      <c r="B116" t="s">
        <v>23</v>
      </c>
      <c r="G116" s="17" t="s">
        <v>35</v>
      </c>
      <c r="H116" s="14">
        <f>MEDIAN(J12,J24,J36,J48,J60,J72,J84)</f>
        <v>1.0404624277456647</v>
      </c>
      <c r="I116" s="18"/>
    </row>
    <row r="117" spans="2:9">
      <c r="B117" s="25">
        <f>C114*K91</f>
        <v>122.19840000000001</v>
      </c>
      <c r="C117" t="s">
        <v>44</v>
      </c>
      <c r="G117" s="17" t="s">
        <v>36</v>
      </c>
      <c r="H117" s="14">
        <f>MEDIAN(J13,J25,J37,J49,J61,J73,J85)</f>
        <v>1.0572557968947387</v>
      </c>
      <c r="I117" s="18"/>
    </row>
    <row r="118" spans="2:9">
      <c r="G118" s="17" t="s">
        <v>37</v>
      </c>
      <c r="H118" s="14">
        <f>MEDIAN(J14,J26,J38,J50,J62,J74,J86)</f>
        <v>1.0608647755439273</v>
      </c>
      <c r="I118" s="18"/>
    </row>
    <row r="119" spans="2:9">
      <c r="B119" t="s">
        <v>42</v>
      </c>
      <c r="G119" s="17" t="s">
        <v>38</v>
      </c>
      <c r="H119" s="14">
        <f>MEDIAN(J15,J27,J39,J51,J63,J75,J87)</f>
        <v>0.95046864001778242</v>
      </c>
      <c r="I119" s="18"/>
    </row>
    <row r="120" spans="2:9">
      <c r="G120" s="17"/>
      <c r="I120" s="18"/>
    </row>
    <row r="121" spans="2:9">
      <c r="G121" s="17" t="s">
        <v>39</v>
      </c>
      <c r="H121" s="14">
        <f>SUM(H108:H119)</f>
        <v>11.998329989793891</v>
      </c>
      <c r="I121" s="18"/>
    </row>
    <row r="122" spans="2:9">
      <c r="G122" s="17"/>
      <c r="H122" t="s">
        <v>45</v>
      </c>
      <c r="I122" s="18"/>
    </row>
    <row r="123" spans="2:9">
      <c r="G123" s="17" t="s">
        <v>40</v>
      </c>
      <c r="I123" s="18"/>
    </row>
    <row r="124" spans="2:9">
      <c r="G124" s="17" t="s">
        <v>41</v>
      </c>
      <c r="I124" s="18"/>
    </row>
    <row r="125" spans="2:9" ht="13.8" thickBot="1">
      <c r="G125" s="19"/>
      <c r="H125" s="20"/>
      <c r="I125" s="21"/>
    </row>
  </sheetData>
  <mergeCells count="1">
    <mergeCell ref="G107:I107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jcatela</dc:creator>
  <dc:description/>
  <cp:lastModifiedBy>JULIO A. DA SILVA CATELA</cp:lastModifiedBy>
  <cp:revision>6</cp:revision>
  <dcterms:created xsi:type="dcterms:W3CDTF">2020-07-10T11:50:02Z</dcterms:created>
  <dcterms:modified xsi:type="dcterms:W3CDTF">2025-06-24T17:03:57Z</dcterms:modified>
  <dc:language>es-AR</dc:language>
</cp:coreProperties>
</file>